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Connor\Documents\"/>
    </mc:Choice>
  </mc:AlternateContent>
  <xr:revisionPtr revIDLastSave="0" documentId="13_ncr:1_{A8291C93-A067-4F0E-A32D-2EBA2FB0087A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Main" sheetId="2" r:id="rId1"/>
    <sheet name="Sheet1" sheetId="1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8" i="2" l="1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AO243" i="1"/>
  <c r="AO242" i="1"/>
  <c r="AO241" i="1"/>
  <c r="AO240" i="1"/>
  <c r="AO239" i="1"/>
  <c r="AO238" i="1"/>
  <c r="AO237" i="1"/>
  <c r="AO236" i="1"/>
  <c r="AO235" i="1"/>
  <c r="AO234" i="1"/>
  <c r="AO233" i="1"/>
  <c r="AO232" i="1"/>
  <c r="AO231" i="1"/>
  <c r="AO230" i="1"/>
  <c r="AO229" i="1"/>
  <c r="AO228" i="1"/>
  <c r="AO227" i="1"/>
  <c r="AO226" i="1"/>
  <c r="AO225" i="1"/>
  <c r="AO224" i="1"/>
  <c r="AO223" i="1"/>
  <c r="AO222" i="1"/>
  <c r="AO221" i="1"/>
  <c r="AO220" i="1"/>
  <c r="AO219" i="1"/>
  <c r="AO218" i="1"/>
  <c r="AO217" i="1"/>
  <c r="AO216" i="1"/>
  <c r="AO215" i="1"/>
  <c r="AO214" i="1"/>
  <c r="AO213" i="1"/>
  <c r="AO212" i="1"/>
  <c r="AO211" i="1"/>
  <c r="AO210" i="1"/>
  <c r="AO209" i="1"/>
  <c r="AO208" i="1"/>
  <c r="AO207" i="1"/>
  <c r="AO206" i="1"/>
  <c r="AO205" i="1"/>
  <c r="AO204" i="1"/>
  <c r="AO203" i="1"/>
  <c r="AO202" i="1"/>
  <c r="AO201" i="1"/>
  <c r="AO200" i="1"/>
  <c r="AO199" i="1"/>
  <c r="AO198" i="1"/>
  <c r="AO197" i="1"/>
  <c r="AO196" i="1"/>
  <c r="AO195" i="1"/>
  <c r="AO194" i="1"/>
  <c r="AO193" i="1"/>
  <c r="AO192" i="1"/>
  <c r="AO191" i="1"/>
  <c r="AO190" i="1"/>
  <c r="AO189" i="1"/>
  <c r="AO188" i="1"/>
  <c r="AO187" i="1"/>
  <c r="AO186" i="1"/>
  <c r="AO185" i="1"/>
  <c r="AO184" i="1"/>
  <c r="AO183" i="1"/>
  <c r="AO182" i="1"/>
  <c r="AO181" i="1"/>
  <c r="AO180" i="1"/>
  <c r="AO179" i="1"/>
  <c r="AO178" i="1"/>
  <c r="D178" i="1"/>
  <c r="AO177" i="1"/>
  <c r="D177" i="1"/>
  <c r="AO176" i="1"/>
  <c r="D176" i="1"/>
  <c r="AO175" i="1"/>
  <c r="D175" i="1"/>
  <c r="AO174" i="1"/>
  <c r="D174" i="1"/>
  <c r="AO173" i="1"/>
  <c r="D173" i="1"/>
  <c r="AO172" i="1"/>
  <c r="D172" i="1"/>
  <c r="AO171" i="1"/>
  <c r="D171" i="1"/>
  <c r="AO170" i="1"/>
  <c r="D170" i="1"/>
  <c r="AO169" i="1"/>
  <c r="D169" i="1"/>
  <c r="AO168" i="1"/>
  <c r="D168" i="1"/>
  <c r="AO167" i="1"/>
  <c r="D167" i="1"/>
  <c r="AO166" i="1"/>
  <c r="D166" i="1"/>
  <c r="AO165" i="1"/>
  <c r="D165" i="1"/>
  <c r="AO164" i="1"/>
  <c r="D164" i="1"/>
  <c r="AO163" i="1"/>
  <c r="D163" i="1"/>
  <c r="AO162" i="1"/>
  <c r="D162" i="1"/>
  <c r="AO161" i="1"/>
  <c r="D161" i="1"/>
  <c r="AO160" i="1"/>
  <c r="D160" i="1"/>
  <c r="AO159" i="1"/>
  <c r="D159" i="1"/>
  <c r="AO158" i="1"/>
  <c r="D158" i="1"/>
  <c r="AO157" i="1"/>
  <c r="D157" i="1"/>
  <c r="AO156" i="1"/>
  <c r="D156" i="1"/>
  <c r="AO155" i="1"/>
  <c r="D155" i="1"/>
  <c r="AO154" i="1"/>
  <c r="D154" i="1"/>
  <c r="AO153" i="1"/>
  <c r="D153" i="1"/>
  <c r="AO152" i="1"/>
  <c r="D152" i="1"/>
  <c r="AO151" i="1"/>
  <c r="D151" i="1"/>
  <c r="AO150" i="1"/>
  <c r="D150" i="1"/>
  <c r="AO149" i="1"/>
  <c r="D149" i="1"/>
  <c r="AO148" i="1"/>
  <c r="D148" i="1"/>
  <c r="AO147" i="1"/>
  <c r="D147" i="1"/>
  <c r="AO146" i="1"/>
  <c r="D146" i="1"/>
  <c r="AO145" i="1"/>
  <c r="D145" i="1"/>
  <c r="AO144" i="1"/>
  <c r="D144" i="1"/>
  <c r="AO143" i="1"/>
  <c r="D143" i="1"/>
  <c r="AO142" i="1"/>
  <c r="D142" i="1"/>
  <c r="AO141" i="1"/>
  <c r="D141" i="1"/>
  <c r="AO140" i="1"/>
  <c r="D140" i="1"/>
  <c r="AO139" i="1"/>
  <c r="D139" i="1"/>
  <c r="AO138" i="1"/>
  <c r="D138" i="1"/>
  <c r="AO137" i="1"/>
  <c r="D137" i="1"/>
  <c r="AO136" i="1"/>
  <c r="D136" i="1"/>
  <c r="AO135" i="1"/>
  <c r="D135" i="1"/>
  <c r="AO134" i="1"/>
  <c r="D134" i="1"/>
  <c r="AO133" i="1"/>
  <c r="D133" i="1"/>
  <c r="AO132" i="1"/>
  <c r="D132" i="1"/>
  <c r="AO131" i="1"/>
  <c r="D131" i="1"/>
  <c r="AO130" i="1"/>
  <c r="D130" i="1"/>
  <c r="AO129" i="1"/>
  <c r="D129" i="1"/>
  <c r="AO128" i="1"/>
  <c r="D128" i="1"/>
  <c r="AO127" i="1"/>
  <c r="D127" i="1"/>
  <c r="AO126" i="1"/>
  <c r="D126" i="1"/>
  <c r="AO125" i="1"/>
  <c r="D125" i="1"/>
  <c r="AO124" i="1"/>
  <c r="D124" i="1"/>
  <c r="AO123" i="1"/>
  <c r="D123" i="1"/>
  <c r="AO122" i="1"/>
  <c r="D122" i="1"/>
  <c r="AO121" i="1"/>
  <c r="D121" i="1"/>
  <c r="AO120" i="1"/>
  <c r="D120" i="1"/>
  <c r="AO119" i="1"/>
  <c r="D119" i="1"/>
  <c r="AO118" i="1"/>
  <c r="D118" i="1"/>
  <c r="AO117" i="1"/>
  <c r="D117" i="1"/>
  <c r="AO116" i="1"/>
  <c r="D116" i="1"/>
  <c r="AO115" i="1"/>
  <c r="D115" i="1"/>
  <c r="AO114" i="1"/>
  <c r="D114" i="1"/>
  <c r="AO113" i="1"/>
  <c r="D113" i="1"/>
  <c r="AO112" i="1"/>
  <c r="D112" i="1"/>
  <c r="AO111" i="1"/>
  <c r="D111" i="1"/>
  <c r="AO110" i="1"/>
  <c r="D110" i="1"/>
  <c r="AO109" i="1"/>
  <c r="D109" i="1"/>
  <c r="AO108" i="1"/>
  <c r="D108" i="1"/>
  <c r="AO107" i="1"/>
  <c r="D107" i="1"/>
  <c r="AO106" i="1"/>
  <c r="D106" i="1"/>
  <c r="AO105" i="1"/>
  <c r="D105" i="1"/>
  <c r="AO104" i="1"/>
  <c r="D104" i="1"/>
  <c r="AO103" i="1"/>
  <c r="D103" i="1"/>
  <c r="AO102" i="1"/>
  <c r="D102" i="1"/>
  <c r="AO101" i="1"/>
  <c r="D101" i="1"/>
  <c r="AO100" i="1"/>
  <c r="D100" i="1"/>
  <c r="AO99" i="1"/>
  <c r="D99" i="1"/>
  <c r="AO98" i="1"/>
  <c r="D98" i="1"/>
  <c r="AO97" i="1"/>
  <c r="D97" i="1"/>
  <c r="AO96" i="1"/>
  <c r="D96" i="1"/>
  <c r="AO95" i="1"/>
  <c r="D95" i="1"/>
  <c r="AO94" i="1"/>
  <c r="D94" i="1"/>
  <c r="AO93" i="1"/>
  <c r="D93" i="1"/>
  <c r="AO92" i="1"/>
  <c r="D92" i="1"/>
  <c r="AO91" i="1"/>
  <c r="D91" i="1"/>
  <c r="AO90" i="1"/>
  <c r="D90" i="1"/>
  <c r="AO89" i="1"/>
  <c r="D89" i="1"/>
  <c r="AO88" i="1"/>
  <c r="D88" i="1"/>
  <c r="AO87" i="1"/>
  <c r="D87" i="1"/>
  <c r="AO86" i="1"/>
  <c r="D86" i="1"/>
  <c r="AO85" i="1"/>
  <c r="D85" i="1"/>
  <c r="AO84" i="1"/>
  <c r="D84" i="1"/>
  <c r="AO83" i="1"/>
  <c r="D83" i="1"/>
  <c r="AO82" i="1"/>
  <c r="D82" i="1"/>
  <c r="AO81" i="1"/>
  <c r="D81" i="1"/>
  <c r="AO80" i="1"/>
  <c r="D80" i="1"/>
  <c r="AO79" i="1"/>
  <c r="D79" i="1"/>
  <c r="AO78" i="1"/>
  <c r="D78" i="1"/>
  <c r="AO77" i="1"/>
  <c r="D77" i="1"/>
  <c r="AO76" i="1"/>
  <c r="D76" i="1"/>
  <c r="AO75" i="1"/>
  <c r="D75" i="1"/>
  <c r="AO74" i="1"/>
  <c r="D74" i="1"/>
  <c r="AO73" i="1"/>
  <c r="D73" i="1"/>
  <c r="AO72" i="1"/>
  <c r="D72" i="1"/>
  <c r="AO71" i="1"/>
  <c r="D71" i="1"/>
  <c r="AO70" i="1"/>
  <c r="D70" i="1"/>
  <c r="AO69" i="1"/>
  <c r="D69" i="1"/>
  <c r="AO68" i="1"/>
  <c r="D68" i="1"/>
  <c r="AO67" i="1"/>
  <c r="D67" i="1"/>
  <c r="AO66" i="1"/>
  <c r="D66" i="1"/>
  <c r="AO65" i="1"/>
  <c r="D65" i="1"/>
  <c r="AO64" i="1"/>
  <c r="D64" i="1"/>
  <c r="AO63" i="1"/>
  <c r="D63" i="1"/>
  <c r="AO62" i="1"/>
  <c r="D62" i="1"/>
  <c r="AO61" i="1"/>
  <c r="D61" i="1"/>
  <c r="AO60" i="1"/>
  <c r="D60" i="1"/>
  <c r="AO59" i="1"/>
  <c r="D59" i="1"/>
  <c r="AO58" i="1"/>
  <c r="D58" i="1"/>
  <c r="AO57" i="1"/>
  <c r="D57" i="1"/>
  <c r="AO56" i="1"/>
  <c r="D56" i="1"/>
  <c r="AO55" i="1"/>
  <c r="D55" i="1"/>
  <c r="AO54" i="1"/>
  <c r="D54" i="1"/>
  <c r="AO53" i="1"/>
  <c r="D53" i="1"/>
  <c r="AO52" i="1"/>
  <c r="D52" i="1"/>
  <c r="AO51" i="1"/>
  <c r="D51" i="1"/>
  <c r="AO50" i="1"/>
  <c r="D50" i="1"/>
  <c r="AO49" i="1"/>
  <c r="D49" i="1"/>
  <c r="AO48" i="1"/>
  <c r="D48" i="1"/>
  <c r="AO47" i="1"/>
  <c r="D47" i="1"/>
  <c r="AO46" i="1"/>
  <c r="D46" i="1"/>
  <c r="AO45" i="1"/>
  <c r="D45" i="1"/>
  <c r="AO44" i="1"/>
  <c r="D44" i="1"/>
  <c r="AO43" i="1"/>
  <c r="D43" i="1"/>
  <c r="AO42" i="1"/>
  <c r="D42" i="1"/>
  <c r="AO41" i="1"/>
  <c r="D41" i="1"/>
  <c r="AO40" i="1"/>
  <c r="D40" i="1"/>
  <c r="AO39" i="1"/>
  <c r="D39" i="1"/>
  <c r="AO38" i="1"/>
  <c r="D38" i="1"/>
  <c r="AO37" i="1"/>
  <c r="D37" i="1"/>
  <c r="AO36" i="1"/>
  <c r="D36" i="1"/>
  <c r="AO35" i="1"/>
  <c r="D35" i="1"/>
  <c r="AO34" i="1"/>
  <c r="D34" i="1"/>
  <c r="AO33" i="1"/>
  <c r="D33" i="1"/>
  <c r="AO32" i="1"/>
  <c r="D32" i="1"/>
  <c r="AO31" i="1"/>
  <c r="D31" i="1"/>
  <c r="AO30" i="1"/>
  <c r="D30" i="1"/>
  <c r="AO29" i="1"/>
  <c r="D29" i="1"/>
  <c r="AO28" i="1"/>
  <c r="D28" i="1"/>
  <c r="AO27" i="1"/>
  <c r="D27" i="1"/>
  <c r="AO26" i="1"/>
  <c r="D26" i="1"/>
  <c r="AO25" i="1"/>
  <c r="D25" i="1"/>
  <c r="AO24" i="1"/>
  <c r="D24" i="1"/>
  <c r="AO23" i="1"/>
  <c r="D23" i="1"/>
  <c r="AO22" i="1"/>
  <c r="D22" i="1"/>
  <c r="AO21" i="1"/>
  <c r="D21" i="1"/>
  <c r="AO20" i="1"/>
  <c r="D20" i="1"/>
  <c r="AO19" i="1"/>
  <c r="D19" i="1"/>
  <c r="AO18" i="1"/>
  <c r="D18" i="1"/>
  <c r="AO17" i="1"/>
  <c r="D17" i="1"/>
  <c r="AO16" i="1"/>
  <c r="D16" i="1"/>
  <c r="AO15" i="1"/>
  <c r="D15" i="1"/>
  <c r="AO14" i="1"/>
  <c r="D14" i="1"/>
  <c r="AO13" i="1"/>
  <c r="D13" i="1"/>
  <c r="AO12" i="1"/>
  <c r="D12" i="1"/>
  <c r="AO11" i="1"/>
  <c r="D11" i="1"/>
  <c r="AO10" i="1"/>
  <c r="D10" i="1"/>
  <c r="AO9" i="1"/>
  <c r="D9" i="1"/>
  <c r="AO8" i="1"/>
  <c r="D8" i="1"/>
  <c r="AO7" i="1"/>
  <c r="D7" i="1"/>
  <c r="AO6" i="1"/>
  <c r="D6" i="1"/>
  <c r="AO5" i="1"/>
  <c r="D5" i="1"/>
  <c r="AO4" i="1"/>
  <c r="D4" i="1"/>
  <c r="AO3" i="1"/>
  <c r="D3" i="1"/>
  <c r="AO2" i="1"/>
</calcChain>
</file>

<file path=xl/sharedStrings.xml><?xml version="1.0" encoding="utf-8"?>
<sst xmlns="http://schemas.openxmlformats.org/spreadsheetml/2006/main" count="1003" uniqueCount="451">
  <si>
    <t>Sample</t>
  </si>
  <si>
    <t>StartDepth</t>
  </si>
  <si>
    <t>End Depth</t>
  </si>
  <si>
    <t>Depth midpoint</t>
  </si>
  <si>
    <t>Particle Weight</t>
  </si>
  <si>
    <t>C/N Weight</t>
  </si>
  <si>
    <t>Epoch</t>
  </si>
  <si>
    <t>Grain size</t>
  </si>
  <si>
    <t>C/N ratio</t>
  </si>
  <si>
    <t>Magnetic Sucesptibility</t>
  </si>
  <si>
    <t>L* values</t>
  </si>
  <si>
    <t>Mean</t>
  </si>
  <si>
    <t>Sorting</t>
  </si>
  <si>
    <t>Skewness</t>
  </si>
  <si>
    <t>Kurtosis</t>
  </si>
  <si>
    <t>mag depth</t>
  </si>
  <si>
    <t>Magsus</t>
  </si>
  <si>
    <t>L*depth</t>
  </si>
  <si>
    <t>L*</t>
  </si>
  <si>
    <t>Fe (Value)</t>
  </si>
  <si>
    <t>W1M17/1</t>
  </si>
  <si>
    <t>Modern</t>
  </si>
  <si>
    <t>W1M17/2</t>
  </si>
  <si>
    <t>W1M17/3</t>
  </si>
  <si>
    <t>W1M17/4</t>
  </si>
  <si>
    <t>W1M17/5</t>
  </si>
  <si>
    <t>W1M17/6</t>
  </si>
  <si>
    <t>W1M17/7</t>
  </si>
  <si>
    <t>W1M17/8</t>
  </si>
  <si>
    <t>W1M17/9</t>
  </si>
  <si>
    <t>W1M17/10</t>
  </si>
  <si>
    <t>W1M17/11</t>
  </si>
  <si>
    <t>W1M17/12</t>
  </si>
  <si>
    <t>W1M17/13</t>
  </si>
  <si>
    <t>W1M17/14</t>
  </si>
  <si>
    <t>W1M17/15</t>
  </si>
  <si>
    <t>W1M17/16</t>
  </si>
  <si>
    <t>W1M17/17</t>
  </si>
  <si>
    <t>W1M17/18</t>
  </si>
  <si>
    <t>W1M17/19</t>
  </si>
  <si>
    <t>W1M17/20</t>
  </si>
  <si>
    <t>W1M17/21</t>
  </si>
  <si>
    <t>W1M17/22</t>
  </si>
  <si>
    <t>W1M17/23</t>
  </si>
  <si>
    <t>W1M17/24</t>
  </si>
  <si>
    <t>W1M17/25</t>
  </si>
  <si>
    <t>W1M17/26</t>
  </si>
  <si>
    <t>W1M17/27</t>
  </si>
  <si>
    <t>W1M17/28</t>
  </si>
  <si>
    <t>W1M17/29</t>
  </si>
  <si>
    <t>W1M17/30</t>
  </si>
  <si>
    <t>W1M17/31</t>
  </si>
  <si>
    <t>W1M17/32</t>
  </si>
  <si>
    <t>W1M17/33</t>
  </si>
  <si>
    <t>W1M17/34</t>
  </si>
  <si>
    <t>W1M17/35</t>
  </si>
  <si>
    <t>W1M17/36</t>
  </si>
  <si>
    <t>W1M17/37</t>
  </si>
  <si>
    <t>W1M17/38</t>
  </si>
  <si>
    <t>W1M17/39</t>
  </si>
  <si>
    <t>W1M17/40</t>
  </si>
  <si>
    <t>W1M17/41</t>
  </si>
  <si>
    <t>W1M17/42</t>
  </si>
  <si>
    <t>W1M17/43</t>
  </si>
  <si>
    <t>W1M17/44</t>
  </si>
  <si>
    <t>W1M17/45</t>
  </si>
  <si>
    <t>W1M17/46</t>
  </si>
  <si>
    <t>W1M17/47</t>
  </si>
  <si>
    <t>W1M17/48</t>
  </si>
  <si>
    <t>W1M17/49</t>
  </si>
  <si>
    <t>W1M17/50</t>
  </si>
  <si>
    <t>W1M17/51</t>
  </si>
  <si>
    <t>W1M17/52</t>
  </si>
  <si>
    <t>Pre-European</t>
  </si>
  <si>
    <t>W1M17/53</t>
  </si>
  <si>
    <t>W1M17/54</t>
  </si>
  <si>
    <t>W1M17/55</t>
  </si>
  <si>
    <t>W1M17/56</t>
  </si>
  <si>
    <t>W1M17/57</t>
  </si>
  <si>
    <t>W1M17/58</t>
  </si>
  <si>
    <t>W1M17/59</t>
  </si>
  <si>
    <t>W1M17/60</t>
  </si>
  <si>
    <t>W1M17/61</t>
  </si>
  <si>
    <t>W1M17/62</t>
  </si>
  <si>
    <t>W1M17/63</t>
  </si>
  <si>
    <t>W1M17/64</t>
  </si>
  <si>
    <t>W1M17/65</t>
  </si>
  <si>
    <t>W1M17/66</t>
  </si>
  <si>
    <t>W1M17/67</t>
  </si>
  <si>
    <t>W1M17/68</t>
  </si>
  <si>
    <t>W1M17/69</t>
  </si>
  <si>
    <t>W1M17/70</t>
  </si>
  <si>
    <t>W1M17/71</t>
  </si>
  <si>
    <t>W1M17/72</t>
  </si>
  <si>
    <t>W1M17/73</t>
  </si>
  <si>
    <t>W1M17/74</t>
  </si>
  <si>
    <t>W1M17/75</t>
  </si>
  <si>
    <t>W1M17/76</t>
  </si>
  <si>
    <t>W1M17/77</t>
  </si>
  <si>
    <t>W1M17/78</t>
  </si>
  <si>
    <t>W1M17/79</t>
  </si>
  <si>
    <t>W1M17/80</t>
  </si>
  <si>
    <t>W1M17/81</t>
  </si>
  <si>
    <t>W1M17/82</t>
  </si>
  <si>
    <t>W1M17/83</t>
  </si>
  <si>
    <t>W1M17/84</t>
  </si>
  <si>
    <t>W1M17/85</t>
  </si>
  <si>
    <t>W1M17/86</t>
  </si>
  <si>
    <t>W1M17/87</t>
  </si>
  <si>
    <t>W1M17/88</t>
  </si>
  <si>
    <t>W1M17/89</t>
  </si>
  <si>
    <t>W1M17/90</t>
  </si>
  <si>
    <t>W1M17/91</t>
  </si>
  <si>
    <t>W1M17/92</t>
  </si>
  <si>
    <t>W1M17/93</t>
  </si>
  <si>
    <t>W1M17/94</t>
  </si>
  <si>
    <t>W1M17/95</t>
  </si>
  <si>
    <t>W1M17/96</t>
  </si>
  <si>
    <t>W1M17/97</t>
  </si>
  <si>
    <t>W1M17/98</t>
  </si>
  <si>
    <t>W1M17/99</t>
  </si>
  <si>
    <t>W1M17/100</t>
  </si>
  <si>
    <t>W1M17/101</t>
  </si>
  <si>
    <t>W1M17/102</t>
  </si>
  <si>
    <t>W1M17/103</t>
  </si>
  <si>
    <t>W1M17/104</t>
  </si>
  <si>
    <t>W1M17/105</t>
  </si>
  <si>
    <t>W1M17/106</t>
  </si>
  <si>
    <t>W1M17/107</t>
  </si>
  <si>
    <t>W1M17/108</t>
  </si>
  <si>
    <t>W1M17/109</t>
  </si>
  <si>
    <t>W1M17/110</t>
  </si>
  <si>
    <t>W1M17/111</t>
  </si>
  <si>
    <t>W1M17/112</t>
  </si>
  <si>
    <t>W1M17/113</t>
  </si>
  <si>
    <t>W1M17/114</t>
  </si>
  <si>
    <t>W1M17/115</t>
  </si>
  <si>
    <t>W1M17/116</t>
  </si>
  <si>
    <t>W1M17/117</t>
  </si>
  <si>
    <t>W1M17/118</t>
  </si>
  <si>
    <t>W1M17/119</t>
  </si>
  <si>
    <t>W1M17/120</t>
  </si>
  <si>
    <t>W1M17/121</t>
  </si>
  <si>
    <t>W1M17/122</t>
  </si>
  <si>
    <t>W1M17/123</t>
  </si>
  <si>
    <t>W1M17/124</t>
  </si>
  <si>
    <t>W1M17/125</t>
  </si>
  <si>
    <t>W1M17/126</t>
  </si>
  <si>
    <t>W1M17/127</t>
  </si>
  <si>
    <t>W1M17/128</t>
  </si>
  <si>
    <t>W1M17/129</t>
  </si>
  <si>
    <t>W1M17/130</t>
  </si>
  <si>
    <t>W1M17/131</t>
  </si>
  <si>
    <t>W1M17/132</t>
  </si>
  <si>
    <t>W1M17/133</t>
  </si>
  <si>
    <t>W1M17/134</t>
  </si>
  <si>
    <t>W1M17/135</t>
  </si>
  <si>
    <t>W1M17/136</t>
  </si>
  <si>
    <t>W1M17/137</t>
  </si>
  <si>
    <t>W1M17/138</t>
  </si>
  <si>
    <t>W1M17/139</t>
  </si>
  <si>
    <t>W1M17/140</t>
  </si>
  <si>
    <t>W1M17/141</t>
  </si>
  <si>
    <t>W1M17/142</t>
  </si>
  <si>
    <t>W1M17/143</t>
  </si>
  <si>
    <t>W1M17/144</t>
  </si>
  <si>
    <t>W1M17/145</t>
  </si>
  <si>
    <t>W1M17/146</t>
  </si>
  <si>
    <t>W1M17/147</t>
  </si>
  <si>
    <t>W1M17/148</t>
  </si>
  <si>
    <t>W1M17/149</t>
  </si>
  <si>
    <t>W1M17/150</t>
  </si>
  <si>
    <t>W1M17/151</t>
  </si>
  <si>
    <t>W1M17/152</t>
  </si>
  <si>
    <t>W1M17/153</t>
  </si>
  <si>
    <t>Pre-Maori</t>
  </si>
  <si>
    <t>W1M17/154</t>
  </si>
  <si>
    <t>W1M17/155</t>
  </si>
  <si>
    <t>W1M17/156</t>
  </si>
  <si>
    <t>W1M17/157</t>
  </si>
  <si>
    <t>W1M17/158</t>
  </si>
  <si>
    <t>W1M17/159</t>
  </si>
  <si>
    <t>W1M17/160</t>
  </si>
  <si>
    <t>W1M17/161</t>
  </si>
  <si>
    <t>W1M17/162</t>
  </si>
  <si>
    <t>W1M17/163</t>
  </si>
  <si>
    <t>W1M17/164</t>
  </si>
  <si>
    <t>W1M17/165</t>
  </si>
  <si>
    <t>W1M17/166</t>
  </si>
  <si>
    <t>W1M17/167</t>
  </si>
  <si>
    <t>W1M17/168</t>
  </si>
  <si>
    <t>W1M17/169</t>
  </si>
  <si>
    <t>W1M17/170</t>
  </si>
  <si>
    <t>W1M17/171</t>
  </si>
  <si>
    <t>W1M17/172</t>
  </si>
  <si>
    <t>W1M17/173</t>
  </si>
  <si>
    <t>W1M17/174</t>
  </si>
  <si>
    <t>W1M17/175</t>
  </si>
  <si>
    <t>W1M17/176</t>
  </si>
  <si>
    <t>Event notes</t>
  </si>
  <si>
    <t>Depth</t>
  </si>
  <si>
    <t>depth mm</t>
  </si>
  <si>
    <t>Magnetic Susceptibility</t>
  </si>
  <si>
    <t>PreMaori</t>
  </si>
  <si>
    <t>PreEuro</t>
  </si>
  <si>
    <t>3.500</t>
  </si>
  <si>
    <t>4.000</t>
  </si>
  <si>
    <t>4.500</t>
  </si>
  <si>
    <t>5.000</t>
  </si>
  <si>
    <t>5.500</t>
  </si>
  <si>
    <t>6.000</t>
  </si>
  <si>
    <t>6.500</t>
  </si>
  <si>
    <t>7.000</t>
  </si>
  <si>
    <t>7.500</t>
  </si>
  <si>
    <t>8.000</t>
  </si>
  <si>
    <t>8.500</t>
  </si>
  <si>
    <t>9.000</t>
  </si>
  <si>
    <t>9.500</t>
  </si>
  <si>
    <t>10.000</t>
  </si>
  <si>
    <t>10.500</t>
  </si>
  <si>
    <t>11.000</t>
  </si>
  <si>
    <t>11.500</t>
  </si>
  <si>
    <t>12.000</t>
  </si>
  <si>
    <t>12.500</t>
  </si>
  <si>
    <t>13.000</t>
  </si>
  <si>
    <t>13.500</t>
  </si>
  <si>
    <t>14.000</t>
  </si>
  <si>
    <t>14.500</t>
  </si>
  <si>
    <t>15.000</t>
  </si>
  <si>
    <t>15.500</t>
  </si>
  <si>
    <t>16.000</t>
  </si>
  <si>
    <t>Start?</t>
  </si>
  <si>
    <t>16.500</t>
  </si>
  <si>
    <t>17.000</t>
  </si>
  <si>
    <t>17.500</t>
  </si>
  <si>
    <t>End?</t>
  </si>
  <si>
    <t>18.000</t>
  </si>
  <si>
    <t>18.500</t>
  </si>
  <si>
    <t>19.000</t>
  </si>
  <si>
    <t>19.500</t>
  </si>
  <si>
    <t>Start</t>
  </si>
  <si>
    <t>20.000</t>
  </si>
  <si>
    <t>20.500</t>
  </si>
  <si>
    <t>21.000</t>
  </si>
  <si>
    <t>21.500</t>
  </si>
  <si>
    <t>End</t>
  </si>
  <si>
    <t>22.000</t>
  </si>
  <si>
    <t>22.500</t>
  </si>
  <si>
    <t>23.000</t>
  </si>
  <si>
    <t>23.500</t>
  </si>
  <si>
    <t>24.000</t>
  </si>
  <si>
    <t>24.500</t>
  </si>
  <si>
    <t>25.000</t>
  </si>
  <si>
    <t>25.500</t>
  </si>
  <si>
    <t>26.000</t>
  </si>
  <si>
    <t>26.500</t>
  </si>
  <si>
    <t>27.000</t>
  </si>
  <si>
    <t>27.500</t>
  </si>
  <si>
    <t>28.000</t>
  </si>
  <si>
    <t>28.500</t>
  </si>
  <si>
    <t>29.000</t>
  </si>
  <si>
    <t>29.500</t>
  </si>
  <si>
    <t>30.000</t>
  </si>
  <si>
    <t>30.500</t>
  </si>
  <si>
    <t>31.000</t>
  </si>
  <si>
    <t>31.500</t>
  </si>
  <si>
    <t>32.000</t>
  </si>
  <si>
    <t>32.500</t>
  </si>
  <si>
    <t>33.000</t>
  </si>
  <si>
    <t>33.500</t>
  </si>
  <si>
    <t>34.000</t>
  </si>
  <si>
    <t>34.500</t>
  </si>
  <si>
    <t>35.000</t>
  </si>
  <si>
    <t>35.500</t>
  </si>
  <si>
    <t>36.000</t>
  </si>
  <si>
    <t>36.500</t>
  </si>
  <si>
    <t>37.000</t>
  </si>
  <si>
    <t>37.500</t>
  </si>
  <si>
    <t>38.000</t>
  </si>
  <si>
    <t>38.500</t>
  </si>
  <si>
    <t>39.000</t>
  </si>
  <si>
    <t>39.500</t>
  </si>
  <si>
    <t>40.000</t>
  </si>
  <si>
    <t>40.500</t>
  </si>
  <si>
    <t>41.000</t>
  </si>
  <si>
    <t>41.500</t>
  </si>
  <si>
    <t>42.000</t>
  </si>
  <si>
    <t>42.500</t>
  </si>
  <si>
    <t>43.000</t>
  </si>
  <si>
    <t>43.500</t>
  </si>
  <si>
    <t>44.000</t>
  </si>
  <si>
    <t>44.500</t>
  </si>
  <si>
    <t>45.000</t>
  </si>
  <si>
    <t>45.500</t>
  </si>
  <si>
    <t>46.000</t>
  </si>
  <si>
    <t>46.500</t>
  </si>
  <si>
    <t>47.000</t>
  </si>
  <si>
    <t>47.500</t>
  </si>
  <si>
    <t>48.000</t>
  </si>
  <si>
    <t>48.500</t>
  </si>
  <si>
    <t>49.000</t>
  </si>
  <si>
    <t>49.500</t>
  </si>
  <si>
    <t>50.000</t>
  </si>
  <si>
    <t>50.500</t>
  </si>
  <si>
    <t>51.000</t>
  </si>
  <si>
    <t>51.500</t>
  </si>
  <si>
    <t>52.000</t>
  </si>
  <si>
    <t>52.500</t>
  </si>
  <si>
    <t>53.000</t>
  </si>
  <si>
    <t>53.500</t>
  </si>
  <si>
    <t>54.000</t>
  </si>
  <si>
    <t>54.500</t>
  </si>
  <si>
    <t>55.000</t>
  </si>
  <si>
    <t>55.500</t>
  </si>
  <si>
    <t>56.000</t>
  </si>
  <si>
    <t>56.500</t>
  </si>
  <si>
    <t>57.000</t>
  </si>
  <si>
    <t>57.500</t>
  </si>
  <si>
    <t>58.000</t>
  </si>
  <si>
    <t>58.500</t>
  </si>
  <si>
    <t>59.000</t>
  </si>
  <si>
    <t>59.500</t>
  </si>
  <si>
    <t>60.000</t>
  </si>
  <si>
    <t>60.500</t>
  </si>
  <si>
    <t>61.000</t>
  </si>
  <si>
    <t>61.500</t>
  </si>
  <si>
    <t>62.000</t>
  </si>
  <si>
    <t>62.500</t>
  </si>
  <si>
    <t>63.000</t>
  </si>
  <si>
    <t>63.500</t>
  </si>
  <si>
    <t>64.000</t>
  </si>
  <si>
    <t>64.500</t>
  </si>
  <si>
    <t>65.000</t>
  </si>
  <si>
    <t>65.500</t>
  </si>
  <si>
    <t>66.000</t>
  </si>
  <si>
    <t>66.500</t>
  </si>
  <si>
    <t>67.000</t>
  </si>
  <si>
    <t>67.500</t>
  </si>
  <si>
    <t>68.000</t>
  </si>
  <si>
    <t>68.500</t>
  </si>
  <si>
    <t>69.000</t>
  </si>
  <si>
    <t>69.500</t>
  </si>
  <si>
    <t>70.000</t>
  </si>
  <si>
    <t>70.500</t>
  </si>
  <si>
    <t>71.000</t>
  </si>
  <si>
    <t>71.500</t>
  </si>
  <si>
    <t>72.000</t>
  </si>
  <si>
    <t>72.500</t>
  </si>
  <si>
    <t>73.000</t>
  </si>
  <si>
    <t>73.500</t>
  </si>
  <si>
    <t>74.000</t>
  </si>
  <si>
    <t>74.500</t>
  </si>
  <si>
    <t>75.000</t>
  </si>
  <si>
    <t>75.500</t>
  </si>
  <si>
    <t>76.000</t>
  </si>
  <si>
    <t>76.500</t>
  </si>
  <si>
    <t>77.000</t>
  </si>
  <si>
    <t>77.500</t>
  </si>
  <si>
    <t>78.000</t>
  </si>
  <si>
    <t>78.500</t>
  </si>
  <si>
    <t>79.000</t>
  </si>
  <si>
    <t>79.500</t>
  </si>
  <si>
    <t>80.000</t>
  </si>
  <si>
    <t>80.500</t>
  </si>
  <si>
    <t>81.000</t>
  </si>
  <si>
    <t>81.500</t>
  </si>
  <si>
    <t>82.000</t>
  </si>
  <si>
    <t>82.500</t>
  </si>
  <si>
    <t>83.000</t>
  </si>
  <si>
    <t>83.500</t>
  </si>
  <si>
    <t>84.000</t>
  </si>
  <si>
    <t>84.500</t>
  </si>
  <si>
    <t>85.000</t>
  </si>
  <si>
    <t>85.500</t>
  </si>
  <si>
    <t>86.000</t>
  </si>
  <si>
    <t>86.500</t>
  </si>
  <si>
    <t>87.000</t>
  </si>
  <si>
    <t>87.500</t>
  </si>
  <si>
    <t>88.000</t>
  </si>
  <si>
    <t>88.500</t>
  </si>
  <si>
    <t>89.000</t>
  </si>
  <si>
    <t>89.500</t>
  </si>
  <si>
    <t>90.000</t>
  </si>
  <si>
    <t>90.500</t>
  </si>
  <si>
    <t>91.000</t>
  </si>
  <si>
    <t>91.500</t>
  </si>
  <si>
    <t>92.000</t>
  </si>
  <si>
    <t>92.500</t>
  </si>
  <si>
    <t>93.000</t>
  </si>
  <si>
    <t>93.500</t>
  </si>
  <si>
    <t>94.000</t>
  </si>
  <si>
    <t>94.500</t>
  </si>
  <si>
    <t>95.000</t>
  </si>
  <si>
    <t>95.500</t>
  </si>
  <si>
    <t>96.000</t>
  </si>
  <si>
    <t>96.500</t>
  </si>
  <si>
    <t>97.000</t>
  </si>
  <si>
    <t>97.500</t>
  </si>
  <si>
    <t>98.000</t>
  </si>
  <si>
    <t>98.500</t>
  </si>
  <si>
    <t>99.000</t>
  </si>
  <si>
    <t>99.500</t>
  </si>
  <si>
    <t>100.000</t>
  </si>
  <si>
    <t>100.500</t>
  </si>
  <si>
    <t>101.000</t>
  </si>
  <si>
    <t>101.500</t>
  </si>
  <si>
    <t>102.000</t>
  </si>
  <si>
    <t>102.500</t>
  </si>
  <si>
    <t>103.000</t>
  </si>
  <si>
    <t>103.500</t>
  </si>
  <si>
    <t>104.000</t>
  </si>
  <si>
    <t>104.500</t>
  </si>
  <si>
    <t>105.000</t>
  </si>
  <si>
    <t>105.500</t>
  </si>
  <si>
    <t>106.000</t>
  </si>
  <si>
    <t>106.500</t>
  </si>
  <si>
    <t>107.000</t>
  </si>
  <si>
    <t>107.500</t>
  </si>
  <si>
    <t>108.000</t>
  </si>
  <si>
    <t>108.500</t>
  </si>
  <si>
    <t>109.000</t>
  </si>
  <si>
    <t>109.500</t>
  </si>
  <si>
    <t>110.000</t>
  </si>
  <si>
    <t>110.500</t>
  </si>
  <si>
    <t>111.000</t>
  </si>
  <si>
    <t>111.500</t>
  </si>
  <si>
    <t>112.000</t>
  </si>
  <si>
    <t>112.500</t>
  </si>
  <si>
    <t>113.000</t>
  </si>
  <si>
    <t>113.500</t>
  </si>
  <si>
    <t>114.000</t>
  </si>
  <si>
    <t>114.500</t>
  </si>
  <si>
    <t>115.000</t>
  </si>
  <si>
    <t>115.500</t>
  </si>
  <si>
    <t>116.000</t>
  </si>
  <si>
    <t>116.500</t>
  </si>
  <si>
    <t>117.000</t>
  </si>
  <si>
    <t>117.500</t>
  </si>
  <si>
    <t>118.000</t>
  </si>
  <si>
    <t>118.500</t>
  </si>
  <si>
    <t>119.000</t>
  </si>
  <si>
    <t>119.500</t>
  </si>
  <si>
    <t>120.000</t>
  </si>
  <si>
    <t>120.500</t>
  </si>
  <si>
    <t>121.000</t>
  </si>
  <si>
    <t>121.500</t>
  </si>
  <si>
    <t>122.000</t>
  </si>
  <si>
    <t>122.500</t>
  </si>
  <si>
    <t>123.000</t>
  </si>
  <si>
    <t>123.500</t>
  </si>
  <si>
    <t>124.000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</si>
</sst>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2" xfId="0" applyFill="1" applyBorder="1"/>
    <xf numFmtId="0" fontId="0" fillId="0" borderId="0" xfId="0" applyAlignment="1">
      <alignment vertical="center"/>
    </xf>
    <xf numFmtId="2" fontId="0" fillId="6" borderId="2" xfId="0" applyNumberFormat="1" applyFill="1" applyBorder="1"/>
    <xf numFmtId="2" fontId="0" fillId="7" borderId="2" xfId="0" applyNumberFormat="1" applyFill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0" tint="-4.9989318521683403E-2"/>
        </patternFill>
      </fill>
    </dxf>
    <dxf>
      <fill>
        <patternFill>
          <bgColor rgb="FFFFCCCC"/>
        </patternFill>
      </fill>
    </dxf>
    <dxf>
      <fill>
        <patternFill>
          <bgColor rgb="FFCCECFF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CCC"/>
        </patternFill>
      </fill>
    </dxf>
    <dxf>
      <fill>
        <patternFill>
          <bgColor rgb="FFCCE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'[1]Graphing (testing)'!$D$3:$D$178</c:f>
              <c:strCache>
                <c:ptCount val="176"/>
                <c:pt idx="0">
                  <c:v>21</c:v>
                </c:pt>
                <c:pt idx="1">
                  <c:v>30</c:v>
                </c:pt>
                <c:pt idx="2">
                  <c:v>43</c:v>
                </c:pt>
                <c:pt idx="3">
                  <c:v>49</c:v>
                </c:pt>
                <c:pt idx="4">
                  <c:v>58.5</c:v>
                </c:pt>
                <c:pt idx="5">
                  <c:v>69.5</c:v>
                </c:pt>
                <c:pt idx="6">
                  <c:v>79</c:v>
                </c:pt>
                <c:pt idx="7">
                  <c:v>90.5</c:v>
                </c:pt>
                <c:pt idx="8">
                  <c:v>100</c:v>
                </c:pt>
                <c:pt idx="9">
                  <c:v>108.5</c:v>
                </c:pt>
                <c:pt idx="10">
                  <c:v>119</c:v>
                </c:pt>
                <c:pt idx="11">
                  <c:v>128.5</c:v>
                </c:pt>
                <c:pt idx="12">
                  <c:v>140</c:v>
                </c:pt>
                <c:pt idx="13">
                  <c:v>148.5</c:v>
                </c:pt>
                <c:pt idx="14">
                  <c:v>161</c:v>
                </c:pt>
                <c:pt idx="15">
                  <c:v>169.5</c:v>
                </c:pt>
                <c:pt idx="16">
                  <c:v>179</c:v>
                </c:pt>
                <c:pt idx="17">
                  <c:v>189</c:v>
                </c:pt>
                <c:pt idx="18">
                  <c:v>199.5</c:v>
                </c:pt>
                <c:pt idx="19">
                  <c:v>209</c:v>
                </c:pt>
                <c:pt idx="20">
                  <c:v>218.5</c:v>
                </c:pt>
                <c:pt idx="21">
                  <c:v>228.5</c:v>
                </c:pt>
                <c:pt idx="22">
                  <c:v>235</c:v>
                </c:pt>
                <c:pt idx="23">
                  <c:v>244</c:v>
                </c:pt>
                <c:pt idx="24">
                  <c:v>252.5</c:v>
                </c:pt>
                <c:pt idx="25">
                  <c:v>261</c:v>
                </c:pt>
                <c:pt idx="26">
                  <c:v>263</c:v>
                </c:pt>
                <c:pt idx="27">
                  <c:v>271.5</c:v>
                </c:pt>
                <c:pt idx="28">
                  <c:v>277.5</c:v>
                </c:pt>
                <c:pt idx="29">
                  <c:v>285</c:v>
                </c:pt>
                <c:pt idx="30">
                  <c:v>292.5</c:v>
                </c:pt>
                <c:pt idx="31">
                  <c:v>297.5</c:v>
                </c:pt>
                <c:pt idx="32">
                  <c:v>301</c:v>
                </c:pt>
                <c:pt idx="33">
                  <c:v>303</c:v>
                </c:pt>
                <c:pt idx="34">
                  <c:v>305</c:v>
                </c:pt>
                <c:pt idx="35">
                  <c:v>308</c:v>
                </c:pt>
                <c:pt idx="36">
                  <c:v>312.5</c:v>
                </c:pt>
                <c:pt idx="37">
                  <c:v>317.5</c:v>
                </c:pt>
                <c:pt idx="38">
                  <c:v>322.5</c:v>
                </c:pt>
                <c:pt idx="39">
                  <c:v>327.5</c:v>
                </c:pt>
                <c:pt idx="40">
                  <c:v>332.5</c:v>
                </c:pt>
                <c:pt idx="41">
                  <c:v>339</c:v>
                </c:pt>
                <c:pt idx="42">
                  <c:v>346.5</c:v>
                </c:pt>
                <c:pt idx="43">
                  <c:v>352.5</c:v>
                </c:pt>
                <c:pt idx="44">
                  <c:v>362.5</c:v>
                </c:pt>
                <c:pt idx="45">
                  <c:v>366.5</c:v>
                </c:pt>
                <c:pt idx="46">
                  <c:v>369.5</c:v>
                </c:pt>
                <c:pt idx="47">
                  <c:v>375.5</c:v>
                </c:pt>
                <c:pt idx="48">
                  <c:v>381.5</c:v>
                </c:pt>
                <c:pt idx="49">
                  <c:v>384.5</c:v>
                </c:pt>
                <c:pt idx="50">
                  <c:v>388</c:v>
                </c:pt>
                <c:pt idx="51">
                  <c:v>391.5</c:v>
                </c:pt>
                <c:pt idx="52">
                  <c:v>397.5</c:v>
                </c:pt>
                <c:pt idx="53">
                  <c:v>404</c:v>
                </c:pt>
                <c:pt idx="54">
                  <c:v>414</c:v>
                </c:pt>
                <c:pt idx="55">
                  <c:v>418</c:v>
                </c:pt>
                <c:pt idx="56">
                  <c:v>421.5</c:v>
                </c:pt>
                <c:pt idx="57">
                  <c:v>424.5</c:v>
                </c:pt>
                <c:pt idx="58">
                  <c:v>428</c:v>
                </c:pt>
                <c:pt idx="59">
                  <c:v>432.5</c:v>
                </c:pt>
                <c:pt idx="60">
                  <c:v>437.5</c:v>
                </c:pt>
                <c:pt idx="61">
                  <c:v>442.5</c:v>
                </c:pt>
                <c:pt idx="62">
                  <c:v>447.5</c:v>
                </c:pt>
                <c:pt idx="63">
                  <c:v>452.5</c:v>
                </c:pt>
                <c:pt idx="64">
                  <c:v>457.5</c:v>
                </c:pt>
                <c:pt idx="65">
                  <c:v>461</c:v>
                </c:pt>
                <c:pt idx="66">
                  <c:v>463.5</c:v>
                </c:pt>
                <c:pt idx="67">
                  <c:v>467.5</c:v>
                </c:pt>
                <c:pt idx="68">
                  <c:v>472.5</c:v>
                </c:pt>
                <c:pt idx="69">
                  <c:v>476</c:v>
                </c:pt>
                <c:pt idx="70">
                  <c:v>478.5</c:v>
                </c:pt>
                <c:pt idx="71">
                  <c:v>481.5</c:v>
                </c:pt>
                <c:pt idx="72">
                  <c:v>484</c:v>
                </c:pt>
                <c:pt idx="73">
                  <c:v>487</c:v>
                </c:pt>
                <c:pt idx="74">
                  <c:v>490</c:v>
                </c:pt>
                <c:pt idx="75">
                  <c:v>492</c:v>
                </c:pt>
                <c:pt idx="76">
                  <c:v>494</c:v>
                </c:pt>
                <c:pt idx="77">
                  <c:v>497.5</c:v>
                </c:pt>
                <c:pt idx="78">
                  <c:v>502.5</c:v>
                </c:pt>
                <c:pt idx="79">
                  <c:v>508</c:v>
                </c:pt>
                <c:pt idx="80">
                  <c:v>512.5</c:v>
                </c:pt>
                <c:pt idx="81">
                  <c:v>517.5</c:v>
                </c:pt>
                <c:pt idx="82">
                  <c:v>521.5</c:v>
                </c:pt>
                <c:pt idx="83">
                  <c:v>524.5</c:v>
                </c:pt>
                <c:pt idx="84">
                  <c:v>528</c:v>
                </c:pt>
                <c:pt idx="85">
                  <c:v>531</c:v>
                </c:pt>
                <c:pt idx="86">
                  <c:v>535</c:v>
                </c:pt>
                <c:pt idx="87">
                  <c:v>539</c:v>
                </c:pt>
                <c:pt idx="88">
                  <c:v>541</c:v>
                </c:pt>
                <c:pt idx="89">
                  <c:v>543</c:v>
                </c:pt>
                <c:pt idx="90">
                  <c:v>545</c:v>
                </c:pt>
                <c:pt idx="91">
                  <c:v>547</c:v>
                </c:pt>
                <c:pt idx="92">
                  <c:v>549</c:v>
                </c:pt>
                <c:pt idx="93">
                  <c:v>552.5</c:v>
                </c:pt>
                <c:pt idx="94">
                  <c:v>557.5</c:v>
                </c:pt>
                <c:pt idx="95">
                  <c:v>561</c:v>
                </c:pt>
                <c:pt idx="96">
                  <c:v>563</c:v>
                </c:pt>
                <c:pt idx="97">
                  <c:v>565</c:v>
                </c:pt>
                <c:pt idx="98">
                  <c:v>567</c:v>
                </c:pt>
                <c:pt idx="99">
                  <c:v>569</c:v>
                </c:pt>
                <c:pt idx="100">
                  <c:v>572.5</c:v>
                </c:pt>
                <c:pt idx="101">
                  <c:v>577.5</c:v>
                </c:pt>
                <c:pt idx="102">
                  <c:v>582.5</c:v>
                </c:pt>
                <c:pt idx="103">
                  <c:v>587.5</c:v>
                </c:pt>
                <c:pt idx="104">
                  <c:v>605</c:v>
                </c:pt>
                <c:pt idx="105">
                  <c:v>615</c:v>
                </c:pt>
                <c:pt idx="106">
                  <c:v>625</c:v>
                </c:pt>
                <c:pt idx="107">
                  <c:v>635</c:v>
                </c:pt>
                <c:pt idx="108">
                  <c:v>645</c:v>
                </c:pt>
                <c:pt idx="109">
                  <c:v>655</c:v>
                </c:pt>
                <c:pt idx="110">
                  <c:v>665</c:v>
                </c:pt>
                <c:pt idx="111">
                  <c:v>675</c:v>
                </c:pt>
                <c:pt idx="112">
                  <c:v>685</c:v>
                </c:pt>
                <c:pt idx="113">
                  <c:v>695</c:v>
                </c:pt>
                <c:pt idx="114">
                  <c:v>705</c:v>
                </c:pt>
                <c:pt idx="115">
                  <c:v>715</c:v>
                </c:pt>
                <c:pt idx="116">
                  <c:v>725</c:v>
                </c:pt>
                <c:pt idx="117">
                  <c:v>735</c:v>
                </c:pt>
                <c:pt idx="118">
                  <c:v>745</c:v>
                </c:pt>
                <c:pt idx="119">
                  <c:v>755</c:v>
                </c:pt>
                <c:pt idx="120">
                  <c:v>765</c:v>
                </c:pt>
                <c:pt idx="121">
                  <c:v>775</c:v>
                </c:pt>
                <c:pt idx="122">
                  <c:v>785</c:v>
                </c:pt>
                <c:pt idx="123">
                  <c:v>795</c:v>
                </c:pt>
                <c:pt idx="124">
                  <c:v>805</c:v>
                </c:pt>
                <c:pt idx="125">
                  <c:v>815</c:v>
                </c:pt>
                <c:pt idx="126">
                  <c:v>825</c:v>
                </c:pt>
                <c:pt idx="127">
                  <c:v>835</c:v>
                </c:pt>
                <c:pt idx="128">
                  <c:v>850</c:v>
                </c:pt>
                <c:pt idx="129">
                  <c:v>851.5</c:v>
                </c:pt>
                <c:pt idx="130">
                  <c:v>856.5</c:v>
                </c:pt>
                <c:pt idx="131">
                  <c:v>862</c:v>
                </c:pt>
                <c:pt idx="132">
                  <c:v>866</c:v>
                </c:pt>
                <c:pt idx="133">
                  <c:v>869.5</c:v>
                </c:pt>
                <c:pt idx="134">
                  <c:v>872.5</c:v>
                </c:pt>
                <c:pt idx="135">
                  <c:v>878</c:v>
                </c:pt>
                <c:pt idx="136">
                  <c:v>884</c:v>
                </c:pt>
                <c:pt idx="137">
                  <c:v>888</c:v>
                </c:pt>
                <c:pt idx="138">
                  <c:v>895</c:v>
                </c:pt>
                <c:pt idx="139">
                  <c:v>905</c:v>
                </c:pt>
                <c:pt idx="140">
                  <c:v>915</c:v>
                </c:pt>
                <c:pt idx="141">
                  <c:v>925</c:v>
                </c:pt>
                <c:pt idx="142">
                  <c:v>933.5</c:v>
                </c:pt>
                <c:pt idx="143">
                  <c:v>938.5</c:v>
                </c:pt>
                <c:pt idx="144">
                  <c:v>945</c:v>
                </c:pt>
                <c:pt idx="145">
                  <c:v>952</c:v>
                </c:pt>
                <c:pt idx="146">
                  <c:v>957</c:v>
                </c:pt>
                <c:pt idx="147">
                  <c:v>962.5</c:v>
                </c:pt>
                <c:pt idx="148">
                  <c:v>966</c:v>
                </c:pt>
                <c:pt idx="149">
                  <c:v>970</c:v>
                </c:pt>
                <c:pt idx="150">
                  <c:v>975.5</c:v>
                </c:pt>
                <c:pt idx="151">
                  <c:v>984</c:v>
                </c:pt>
                <c:pt idx="152">
                  <c:v>995</c:v>
                </c:pt>
                <c:pt idx="153">
                  <c:v>1008</c:v>
                </c:pt>
                <c:pt idx="154">
                  <c:v>1018</c:v>
                </c:pt>
                <c:pt idx="155">
                  <c:v>1025</c:v>
                </c:pt>
                <c:pt idx="156">
                  <c:v>1035</c:v>
                </c:pt>
                <c:pt idx="157">
                  <c:v>1045.5</c:v>
                </c:pt>
                <c:pt idx="158">
                  <c:v>1055.5</c:v>
                </c:pt>
                <c:pt idx="159">
                  <c:v>1065.5</c:v>
                </c:pt>
                <c:pt idx="160">
                  <c:v>1075.5</c:v>
                </c:pt>
                <c:pt idx="161">
                  <c:v>1085.5</c:v>
                </c:pt>
                <c:pt idx="162">
                  <c:v>1095.5</c:v>
                </c:pt>
                <c:pt idx="163">
                  <c:v>1105.5</c:v>
                </c:pt>
                <c:pt idx="164">
                  <c:v>1115.5</c:v>
                </c:pt>
                <c:pt idx="165">
                  <c:v>1125.5</c:v>
                </c:pt>
                <c:pt idx="166">
                  <c:v>1135.5</c:v>
                </c:pt>
                <c:pt idx="167">
                  <c:v>1145.5</c:v>
                </c:pt>
                <c:pt idx="168">
                  <c:v>1155.5</c:v>
                </c:pt>
                <c:pt idx="169">
                  <c:v>1165.5</c:v>
                </c:pt>
                <c:pt idx="170">
                  <c:v>1175.5</c:v>
                </c:pt>
                <c:pt idx="171">
                  <c:v>1185.5</c:v>
                </c:pt>
                <c:pt idx="172">
                  <c:v>1195.5</c:v>
                </c:pt>
                <c:pt idx="173">
                  <c:v>1205.5</c:v>
                </c:pt>
                <c:pt idx="174">
                  <c:v>1214</c:v>
                </c:pt>
                <c:pt idx="175">
                  <c:v>1219.5</c:v>
                </c:pt>
              </c:strCache>
            </c:strRef>
          </c:xVal>
          <c:yVal>
            <c:numRef>
              <c:f>'[1]Graphing (testing)'!$I$3:$I$178</c:f>
              <c:numCache>
                <c:formatCode>General</c:formatCode>
                <c:ptCount val="176"/>
                <c:pt idx="0">
                  <c:v>18.7335153936476</c:v>
                </c:pt>
                <c:pt idx="1">
                  <c:v>18.8993612138174</c:v>
                </c:pt>
                <c:pt idx="2">
                  <c:v>16.707771934454598</c:v>
                </c:pt>
                <c:pt idx="3">
                  <c:v>16.614103688470198</c:v>
                </c:pt>
                <c:pt idx="4">
                  <c:v>17.600297753157101</c:v>
                </c:pt>
                <c:pt idx="5">
                  <c:v>19.023804448800298</c:v>
                </c:pt>
                <c:pt idx="6">
                  <c:v>16.631812132910699</c:v>
                </c:pt>
                <c:pt idx="7">
                  <c:v>17.318757436651001</c:v>
                </c:pt>
                <c:pt idx="8">
                  <c:v>17.977122391566901</c:v>
                </c:pt>
                <c:pt idx="9">
                  <c:v>18.832745529055899</c:v>
                </c:pt>
                <c:pt idx="10">
                  <c:v>17.575149062748299</c:v>
                </c:pt>
                <c:pt idx="11">
                  <c:v>16.577432169272601</c:v>
                </c:pt>
                <c:pt idx="12">
                  <c:v>17.285767804450401</c:v>
                </c:pt>
                <c:pt idx="13">
                  <c:v>17.846355005090601</c:v>
                </c:pt>
                <c:pt idx="14">
                  <c:v>17.951953478879599</c:v>
                </c:pt>
                <c:pt idx="15">
                  <c:v>17.999076398155001</c:v>
                </c:pt>
                <c:pt idx="16">
                  <c:v>16.9079786890644</c:v>
                </c:pt>
                <c:pt idx="17">
                  <c:v>17.510073671674199</c:v>
                </c:pt>
                <c:pt idx="18">
                  <c:v>18.181081929131501</c:v>
                </c:pt>
                <c:pt idx="19">
                  <c:v>17.927309772120999</c:v>
                </c:pt>
                <c:pt idx="20">
                  <c:v>26.018908805756801</c:v>
                </c:pt>
                <c:pt idx="21">
                  <c:v>26.955359620773699</c:v>
                </c:pt>
                <c:pt idx="22">
                  <c:v>28.3085349889237</c:v>
                </c:pt>
                <c:pt idx="23">
                  <c:v>23.7265676601303</c:v>
                </c:pt>
                <c:pt idx="24">
                  <c:v>18.567006671791201</c:v>
                </c:pt>
                <c:pt idx="25">
                  <c:v>17.761928229897102</c:v>
                </c:pt>
                <c:pt idx="26">
                  <c:v>17.386548797664901</c:v>
                </c:pt>
                <c:pt idx="27">
                  <c:v>17.1135913166233</c:v>
                </c:pt>
                <c:pt idx="28">
                  <c:v>19.209360440614901</c:v>
                </c:pt>
                <c:pt idx="29">
                  <c:v>17.835453808199698</c:v>
                </c:pt>
                <c:pt idx="30">
                  <c:v>16.8737598219336</c:v>
                </c:pt>
                <c:pt idx="31">
                  <c:v>17.919794961969199</c:v>
                </c:pt>
                <c:pt idx="32">
                  <c:v>16.365133790244801</c:v>
                </c:pt>
                <c:pt idx="33">
                  <c:v>16.4739861998012</c:v>
                </c:pt>
                <c:pt idx="34">
                  <c:v>16.541561485392101</c:v>
                </c:pt>
                <c:pt idx="35">
                  <c:v>16.449059750825299</c:v>
                </c:pt>
                <c:pt idx="36">
                  <c:v>17.0722574413128</c:v>
                </c:pt>
                <c:pt idx="37">
                  <c:v>18.081395551572701</c:v>
                </c:pt>
                <c:pt idx="38">
                  <c:v>17.9247475695886</c:v>
                </c:pt>
                <c:pt idx="39">
                  <c:v>15.436732894972801</c:v>
                </c:pt>
                <c:pt idx="40">
                  <c:v>15.8515297647137</c:v>
                </c:pt>
                <c:pt idx="41">
                  <c:v>16.583759568014699</c:v>
                </c:pt>
                <c:pt idx="42">
                  <c:v>16.612925409924401</c:v>
                </c:pt>
                <c:pt idx="43">
                  <c:v>15.8974828916724</c:v>
                </c:pt>
                <c:pt idx="44">
                  <c:v>15.711580065143201</c:v>
                </c:pt>
                <c:pt idx="45">
                  <c:v>16.5018926722027</c:v>
                </c:pt>
                <c:pt idx="46">
                  <c:v>16.755152874798899</c:v>
                </c:pt>
                <c:pt idx="47">
                  <c:v>17.115442564463098</c:v>
                </c:pt>
                <c:pt idx="48">
                  <c:v>17.3996114514133</c:v>
                </c:pt>
                <c:pt idx="49">
                  <c:v>17.3398324454826</c:v>
                </c:pt>
                <c:pt idx="50">
                  <c:v>16.940258792307802</c:v>
                </c:pt>
                <c:pt idx="51">
                  <c:v>16.3957008847038</c:v>
                </c:pt>
                <c:pt idx="52">
                  <c:v>16.454886994423401</c:v>
                </c:pt>
                <c:pt idx="53">
                  <c:v>16.7437508754231</c:v>
                </c:pt>
                <c:pt idx="54">
                  <c:v>17.698277489199601</c:v>
                </c:pt>
                <c:pt idx="55">
                  <c:v>17.9912891291055</c:v>
                </c:pt>
                <c:pt idx="56">
                  <c:v>18.257728020753198</c:v>
                </c:pt>
                <c:pt idx="57">
                  <c:v>16.6276878454829</c:v>
                </c:pt>
                <c:pt idx="58">
                  <c:v>17.453877757397201</c:v>
                </c:pt>
                <c:pt idx="59">
                  <c:v>18.325460841122599</c:v>
                </c:pt>
                <c:pt idx="60">
                  <c:v>18.349921169625599</c:v>
                </c:pt>
                <c:pt idx="61">
                  <c:v>18.1871206977913</c:v>
                </c:pt>
                <c:pt idx="62">
                  <c:v>17.6448954568076</c:v>
                </c:pt>
                <c:pt idx="63">
                  <c:v>17.4611860802327</c:v>
                </c:pt>
                <c:pt idx="64">
                  <c:v>17.053523986475302</c:v>
                </c:pt>
                <c:pt idx="65">
                  <c:v>17.707459201962902</c:v>
                </c:pt>
                <c:pt idx="66">
                  <c:v>16.825408572613298</c:v>
                </c:pt>
                <c:pt idx="67">
                  <c:v>17.057439280039102</c:v>
                </c:pt>
                <c:pt idx="68">
                  <c:v>16.450608143888701</c:v>
                </c:pt>
                <c:pt idx="69">
                  <c:v>16.234082421005599</c:v>
                </c:pt>
                <c:pt idx="70">
                  <c:v>17.101903750439799</c:v>
                </c:pt>
                <c:pt idx="72">
                  <c:v>17.775455974689599</c:v>
                </c:pt>
                <c:pt idx="73">
                  <c:v>17.018535442161799</c:v>
                </c:pt>
                <c:pt idx="74">
                  <c:v>17.653934148927402</c:v>
                </c:pt>
                <c:pt idx="75">
                  <c:v>15.9953879285036</c:v>
                </c:pt>
                <c:pt idx="76">
                  <c:v>15.6283855397346</c:v>
                </c:pt>
                <c:pt idx="77">
                  <c:v>15.5762558695598</c:v>
                </c:pt>
                <c:pt idx="78">
                  <c:v>15.7873049466477</c:v>
                </c:pt>
                <c:pt idx="79">
                  <c:v>16.170154255624301</c:v>
                </c:pt>
                <c:pt idx="80">
                  <c:v>17.1923462826099</c:v>
                </c:pt>
                <c:pt idx="81">
                  <c:v>17.738173607338101</c:v>
                </c:pt>
                <c:pt idx="82">
                  <c:v>18.005834644554302</c:v>
                </c:pt>
                <c:pt idx="83">
                  <c:v>17.737308946827099</c:v>
                </c:pt>
                <c:pt idx="84">
                  <c:v>15.9897915272524</c:v>
                </c:pt>
                <c:pt idx="85">
                  <c:v>14.9604081741288</c:v>
                </c:pt>
                <c:pt idx="86">
                  <c:v>14.2188119602844</c:v>
                </c:pt>
                <c:pt idx="87">
                  <c:v>16.014158324145399</c:v>
                </c:pt>
                <c:pt idx="88">
                  <c:v>16.432034598401401</c:v>
                </c:pt>
                <c:pt idx="89">
                  <c:v>16.868772122647901</c:v>
                </c:pt>
                <c:pt idx="90">
                  <c:v>17.230518222040399</c:v>
                </c:pt>
                <c:pt idx="91">
                  <c:v>15.8309096376122</c:v>
                </c:pt>
                <c:pt idx="92">
                  <c:v>15.981776093023599</c:v>
                </c:pt>
                <c:pt idx="93">
                  <c:v>16.766632582301899</c:v>
                </c:pt>
                <c:pt idx="94">
                  <c:v>18.359440745479201</c:v>
                </c:pt>
                <c:pt idx="95">
                  <c:v>18.159044351525399</c:v>
                </c:pt>
                <c:pt idx="96">
                  <c:v>16.9119617808641</c:v>
                </c:pt>
                <c:pt idx="97">
                  <c:v>16.162098274513301</c:v>
                </c:pt>
                <c:pt idx="98">
                  <c:v>17.118300684150199</c:v>
                </c:pt>
                <c:pt idx="99">
                  <c:v>16.778586086804498</c:v>
                </c:pt>
                <c:pt idx="100">
                  <c:v>16.537470431516802</c:v>
                </c:pt>
                <c:pt idx="101">
                  <c:v>16.7912604979498</c:v>
                </c:pt>
                <c:pt idx="102">
                  <c:v>16.941465070359701</c:v>
                </c:pt>
                <c:pt idx="103">
                  <c:v>17.2830128167145</c:v>
                </c:pt>
                <c:pt idx="104">
                  <c:v>17.281760182079701</c:v>
                </c:pt>
                <c:pt idx="105">
                  <c:v>17.864975409262001</c:v>
                </c:pt>
                <c:pt idx="106">
                  <c:v>9.1624778973578795</c:v>
                </c:pt>
                <c:pt idx="107">
                  <c:v>16.682755289206298</c:v>
                </c:pt>
                <c:pt idx="108">
                  <c:v>17.688692455535399</c:v>
                </c:pt>
                <c:pt idx="109">
                  <c:v>17.888834142239698</c:v>
                </c:pt>
                <c:pt idx="110">
                  <c:v>16.973751543151899</c:v>
                </c:pt>
                <c:pt idx="111">
                  <c:v>22.807820739988401</c:v>
                </c:pt>
                <c:pt idx="112">
                  <c:v>25.335658313139898</c:v>
                </c:pt>
                <c:pt idx="113">
                  <c:v>24.417958458319799</c:v>
                </c:pt>
                <c:pt idx="114">
                  <c:v>32.397541964260199</c:v>
                </c:pt>
                <c:pt idx="115">
                  <c:v>33.748075281126802</c:v>
                </c:pt>
                <c:pt idx="116">
                  <c:v>30.2376406915212</c:v>
                </c:pt>
                <c:pt idx="117">
                  <c:v>35.433616359316197</c:v>
                </c:pt>
                <c:pt idx="118">
                  <c:v>30.708605030003799</c:v>
                </c:pt>
                <c:pt idx="119">
                  <c:v>29.677911541480299</c:v>
                </c:pt>
                <c:pt idx="120">
                  <c:v>31.5422132331623</c:v>
                </c:pt>
                <c:pt idx="121">
                  <c:v>28.727406959219</c:v>
                </c:pt>
                <c:pt idx="122">
                  <c:v>30.775195262652399</c:v>
                </c:pt>
                <c:pt idx="123">
                  <c:v>30.6476386858801</c:v>
                </c:pt>
                <c:pt idx="124">
                  <c:v>30.3132739695948</c:v>
                </c:pt>
                <c:pt idx="125">
                  <c:v>23.255471503231298</c:v>
                </c:pt>
                <c:pt idx="126">
                  <c:v>29.004153939037</c:v>
                </c:pt>
                <c:pt idx="127">
                  <c:v>25.9311896905601</c:v>
                </c:pt>
                <c:pt idx="128">
                  <c:v>24.382822320613599</c:v>
                </c:pt>
                <c:pt idx="129">
                  <c:v>21.825141835434302</c:v>
                </c:pt>
                <c:pt idx="130">
                  <c:v>20.423765977399</c:v>
                </c:pt>
                <c:pt idx="131">
                  <c:v>22.425700023331402</c:v>
                </c:pt>
                <c:pt idx="132">
                  <c:v>23.7147745348786</c:v>
                </c:pt>
                <c:pt idx="133">
                  <c:v>25.184669240866999</c:v>
                </c:pt>
                <c:pt idx="134">
                  <c:v>22.938764084748399</c:v>
                </c:pt>
                <c:pt idx="135">
                  <c:v>21.144736000919998</c:v>
                </c:pt>
                <c:pt idx="136">
                  <c:v>21.8548519450679</c:v>
                </c:pt>
                <c:pt idx="137">
                  <c:v>21.870994419086699</c:v>
                </c:pt>
                <c:pt idx="138">
                  <c:v>22.415512104953699</c:v>
                </c:pt>
                <c:pt idx="139">
                  <c:v>25.839757869396799</c:v>
                </c:pt>
                <c:pt idx="140">
                  <c:v>23.7998553066097</c:v>
                </c:pt>
                <c:pt idx="141">
                  <c:v>24.5833512492935</c:v>
                </c:pt>
                <c:pt idx="142">
                  <c:v>27.7221694212855</c:v>
                </c:pt>
                <c:pt idx="143">
                  <c:v>26.275818300023001</c:v>
                </c:pt>
                <c:pt idx="144">
                  <c:v>22.440341793269599</c:v>
                </c:pt>
                <c:pt idx="145">
                  <c:v>20.2438356475304</c:v>
                </c:pt>
                <c:pt idx="146">
                  <c:v>26.163002677298</c:v>
                </c:pt>
                <c:pt idx="147">
                  <c:v>26.545931799486201</c:v>
                </c:pt>
                <c:pt idx="148">
                  <c:v>23.2340519146696</c:v>
                </c:pt>
                <c:pt idx="149">
                  <c:v>22.519770477819499</c:v>
                </c:pt>
                <c:pt idx="150">
                  <c:v>21.674459720842702</c:v>
                </c:pt>
                <c:pt idx="151">
                  <c:v>22.658623552479401</c:v>
                </c:pt>
                <c:pt idx="152">
                  <c:v>24.405778022076401</c:v>
                </c:pt>
                <c:pt idx="153">
                  <c:v>25.6558797274553</c:v>
                </c:pt>
                <c:pt idx="154">
                  <c:v>30.944411706937299</c:v>
                </c:pt>
                <c:pt idx="155">
                  <c:v>22.463378330437301</c:v>
                </c:pt>
                <c:pt idx="156">
                  <c:v>22.8876108795967</c:v>
                </c:pt>
                <c:pt idx="157">
                  <c:v>28.373998431333</c:v>
                </c:pt>
                <c:pt idx="158">
                  <c:v>31.817065350673701</c:v>
                </c:pt>
                <c:pt idx="159">
                  <c:v>26.092082091729299</c:v>
                </c:pt>
                <c:pt idx="160">
                  <c:v>22.6500268327468</c:v>
                </c:pt>
                <c:pt idx="161">
                  <c:v>24.967764084486099</c:v>
                </c:pt>
                <c:pt idx="162">
                  <c:v>23.221284194452899</c:v>
                </c:pt>
                <c:pt idx="163">
                  <c:v>23.428100200372</c:v>
                </c:pt>
                <c:pt idx="164">
                  <c:v>26.161404319970501</c:v>
                </c:pt>
                <c:pt idx="165">
                  <c:v>20.912592325967399</c:v>
                </c:pt>
                <c:pt idx="166">
                  <c:v>26.531245295093001</c:v>
                </c:pt>
                <c:pt idx="167">
                  <c:v>30.0968294411906</c:v>
                </c:pt>
                <c:pt idx="168">
                  <c:v>31.3845241727815</c:v>
                </c:pt>
                <c:pt idx="169">
                  <c:v>34.2170365706993</c:v>
                </c:pt>
                <c:pt idx="170">
                  <c:v>31.428863388390099</c:v>
                </c:pt>
                <c:pt idx="171">
                  <c:v>36.042369601176603</c:v>
                </c:pt>
                <c:pt idx="172">
                  <c:v>36.4168033904621</c:v>
                </c:pt>
                <c:pt idx="173">
                  <c:v>36.650619035015403</c:v>
                </c:pt>
                <c:pt idx="174">
                  <c:v>37.096352002279303</c:v>
                </c:pt>
                <c:pt idx="175">
                  <c:v>37.201112525182403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3-4607-952D-FC341EAB2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655840"/>
        <c:axId val="360656320"/>
      </c:scatterChart>
      <c:scatterChart>
        <c:scatterStyle val="lineMarker"/>
        <c:varyColors val="0"/>
        <c:ser>
          <c:idx val="1"/>
          <c:order val="1"/>
          <c:tx>
            <c:strRef>
              <c:f>'[1]Graphing (testing)'!$AP$1</c:f>
              <c:strCache>
                <c:ptCount val="1"/>
                <c:pt idx="0">
                  <c:v>Magnetic Susceptibility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'[1]Graphing (testing)'!$AO$2:$AO$243</c:f>
              <c:strCache>
                <c:ptCount val="242"/>
                <c:pt idx="0">
                  <c:v>35</c:v>
                </c:pt>
                <c:pt idx="1">
                  <c:v>40</c:v>
                </c:pt>
                <c:pt idx="2">
                  <c:v>45</c:v>
                </c:pt>
                <c:pt idx="3">
                  <c:v>50</c:v>
                </c:pt>
                <c:pt idx="4">
                  <c:v>55</c:v>
                </c:pt>
                <c:pt idx="5">
                  <c:v>60</c:v>
                </c:pt>
                <c:pt idx="6">
                  <c:v>65</c:v>
                </c:pt>
                <c:pt idx="7">
                  <c:v>70</c:v>
                </c:pt>
                <c:pt idx="8">
                  <c:v>75</c:v>
                </c:pt>
                <c:pt idx="9">
                  <c:v>80</c:v>
                </c:pt>
                <c:pt idx="10">
                  <c:v>85</c:v>
                </c:pt>
                <c:pt idx="11">
                  <c:v>90</c:v>
                </c:pt>
                <c:pt idx="12">
                  <c:v>95</c:v>
                </c:pt>
                <c:pt idx="13">
                  <c:v>100</c:v>
                </c:pt>
                <c:pt idx="14">
                  <c:v>105</c:v>
                </c:pt>
                <c:pt idx="15">
                  <c:v>110</c:v>
                </c:pt>
                <c:pt idx="16">
                  <c:v>115</c:v>
                </c:pt>
                <c:pt idx="17">
                  <c:v>120</c:v>
                </c:pt>
                <c:pt idx="18">
                  <c:v>125</c:v>
                </c:pt>
                <c:pt idx="19">
                  <c:v>130</c:v>
                </c:pt>
                <c:pt idx="20">
                  <c:v>135</c:v>
                </c:pt>
                <c:pt idx="21">
                  <c:v>140</c:v>
                </c:pt>
                <c:pt idx="22">
                  <c:v>145</c:v>
                </c:pt>
                <c:pt idx="23">
                  <c:v>150</c:v>
                </c:pt>
                <c:pt idx="24">
                  <c:v>155</c:v>
                </c:pt>
                <c:pt idx="25">
                  <c:v>160</c:v>
                </c:pt>
                <c:pt idx="26">
                  <c:v>165</c:v>
                </c:pt>
                <c:pt idx="27">
                  <c:v>170</c:v>
                </c:pt>
                <c:pt idx="28">
                  <c:v>175</c:v>
                </c:pt>
                <c:pt idx="29">
                  <c:v>180</c:v>
                </c:pt>
                <c:pt idx="30">
                  <c:v>185</c:v>
                </c:pt>
                <c:pt idx="31">
                  <c:v>190</c:v>
                </c:pt>
                <c:pt idx="32">
                  <c:v>195</c:v>
                </c:pt>
                <c:pt idx="33">
                  <c:v>200</c:v>
                </c:pt>
                <c:pt idx="34">
                  <c:v>205</c:v>
                </c:pt>
                <c:pt idx="35">
                  <c:v>210</c:v>
                </c:pt>
                <c:pt idx="36">
                  <c:v>215</c:v>
                </c:pt>
                <c:pt idx="37">
                  <c:v>220</c:v>
                </c:pt>
                <c:pt idx="38">
                  <c:v>225</c:v>
                </c:pt>
                <c:pt idx="39">
                  <c:v>230</c:v>
                </c:pt>
                <c:pt idx="40">
                  <c:v>235</c:v>
                </c:pt>
                <c:pt idx="41">
                  <c:v>240</c:v>
                </c:pt>
                <c:pt idx="42">
                  <c:v>245</c:v>
                </c:pt>
                <c:pt idx="43">
                  <c:v>250</c:v>
                </c:pt>
                <c:pt idx="44">
                  <c:v>255</c:v>
                </c:pt>
                <c:pt idx="45">
                  <c:v>260</c:v>
                </c:pt>
                <c:pt idx="46">
                  <c:v>265</c:v>
                </c:pt>
                <c:pt idx="47">
                  <c:v>270</c:v>
                </c:pt>
                <c:pt idx="48">
                  <c:v>275</c:v>
                </c:pt>
                <c:pt idx="49">
                  <c:v>280</c:v>
                </c:pt>
                <c:pt idx="50">
                  <c:v>285</c:v>
                </c:pt>
                <c:pt idx="51">
                  <c:v>290</c:v>
                </c:pt>
                <c:pt idx="52">
                  <c:v>295</c:v>
                </c:pt>
                <c:pt idx="53">
                  <c:v>300</c:v>
                </c:pt>
                <c:pt idx="54">
                  <c:v>305</c:v>
                </c:pt>
                <c:pt idx="55">
                  <c:v>310</c:v>
                </c:pt>
                <c:pt idx="56">
                  <c:v>315</c:v>
                </c:pt>
                <c:pt idx="57">
                  <c:v>320</c:v>
                </c:pt>
                <c:pt idx="58">
                  <c:v>325</c:v>
                </c:pt>
                <c:pt idx="59">
                  <c:v>330</c:v>
                </c:pt>
                <c:pt idx="60">
                  <c:v>335</c:v>
                </c:pt>
                <c:pt idx="61">
                  <c:v>340</c:v>
                </c:pt>
                <c:pt idx="62">
                  <c:v>345</c:v>
                </c:pt>
                <c:pt idx="63">
                  <c:v>350</c:v>
                </c:pt>
                <c:pt idx="64">
                  <c:v>355</c:v>
                </c:pt>
                <c:pt idx="65">
                  <c:v>360</c:v>
                </c:pt>
                <c:pt idx="66">
                  <c:v>365</c:v>
                </c:pt>
                <c:pt idx="67">
                  <c:v>370</c:v>
                </c:pt>
                <c:pt idx="68">
                  <c:v>375</c:v>
                </c:pt>
                <c:pt idx="69">
                  <c:v>380</c:v>
                </c:pt>
                <c:pt idx="70">
                  <c:v>385</c:v>
                </c:pt>
                <c:pt idx="71">
                  <c:v>390</c:v>
                </c:pt>
                <c:pt idx="72">
                  <c:v>395</c:v>
                </c:pt>
                <c:pt idx="73">
                  <c:v>400</c:v>
                </c:pt>
                <c:pt idx="74">
                  <c:v>405</c:v>
                </c:pt>
                <c:pt idx="75">
                  <c:v>410</c:v>
                </c:pt>
                <c:pt idx="76">
                  <c:v>415</c:v>
                </c:pt>
                <c:pt idx="77">
                  <c:v>420</c:v>
                </c:pt>
                <c:pt idx="78">
                  <c:v>425</c:v>
                </c:pt>
                <c:pt idx="79">
                  <c:v>430</c:v>
                </c:pt>
                <c:pt idx="80">
                  <c:v>435</c:v>
                </c:pt>
                <c:pt idx="81">
                  <c:v>440</c:v>
                </c:pt>
                <c:pt idx="82">
                  <c:v>445</c:v>
                </c:pt>
                <c:pt idx="83">
                  <c:v>450</c:v>
                </c:pt>
                <c:pt idx="84">
                  <c:v>455</c:v>
                </c:pt>
                <c:pt idx="85">
                  <c:v>460</c:v>
                </c:pt>
                <c:pt idx="86">
                  <c:v>465</c:v>
                </c:pt>
                <c:pt idx="87">
                  <c:v>470</c:v>
                </c:pt>
                <c:pt idx="88">
                  <c:v>475</c:v>
                </c:pt>
                <c:pt idx="89">
                  <c:v>480</c:v>
                </c:pt>
                <c:pt idx="90">
                  <c:v>485</c:v>
                </c:pt>
                <c:pt idx="91">
                  <c:v>490</c:v>
                </c:pt>
                <c:pt idx="92">
                  <c:v>495</c:v>
                </c:pt>
                <c:pt idx="93">
                  <c:v>500</c:v>
                </c:pt>
                <c:pt idx="94">
                  <c:v>505</c:v>
                </c:pt>
                <c:pt idx="95">
                  <c:v>510</c:v>
                </c:pt>
                <c:pt idx="96">
                  <c:v>515</c:v>
                </c:pt>
                <c:pt idx="97">
                  <c:v>520</c:v>
                </c:pt>
                <c:pt idx="98">
                  <c:v>525</c:v>
                </c:pt>
                <c:pt idx="99">
                  <c:v>530</c:v>
                </c:pt>
                <c:pt idx="100">
                  <c:v>535</c:v>
                </c:pt>
                <c:pt idx="101">
                  <c:v>540</c:v>
                </c:pt>
                <c:pt idx="102">
                  <c:v>545</c:v>
                </c:pt>
                <c:pt idx="103">
                  <c:v>550</c:v>
                </c:pt>
                <c:pt idx="104">
                  <c:v>555</c:v>
                </c:pt>
                <c:pt idx="105">
                  <c:v>560</c:v>
                </c:pt>
                <c:pt idx="106">
                  <c:v>565</c:v>
                </c:pt>
                <c:pt idx="107">
                  <c:v>570</c:v>
                </c:pt>
                <c:pt idx="108">
                  <c:v>575</c:v>
                </c:pt>
                <c:pt idx="109">
                  <c:v>580</c:v>
                </c:pt>
                <c:pt idx="110">
                  <c:v>585</c:v>
                </c:pt>
                <c:pt idx="111">
                  <c:v>590</c:v>
                </c:pt>
                <c:pt idx="112">
                  <c:v>595</c:v>
                </c:pt>
                <c:pt idx="113">
                  <c:v>600</c:v>
                </c:pt>
                <c:pt idx="114">
                  <c:v>605</c:v>
                </c:pt>
                <c:pt idx="115">
                  <c:v>610</c:v>
                </c:pt>
                <c:pt idx="116">
                  <c:v>615</c:v>
                </c:pt>
                <c:pt idx="117">
                  <c:v>620</c:v>
                </c:pt>
                <c:pt idx="118">
                  <c:v>625</c:v>
                </c:pt>
                <c:pt idx="119">
                  <c:v>630</c:v>
                </c:pt>
                <c:pt idx="120">
                  <c:v>635</c:v>
                </c:pt>
                <c:pt idx="121">
                  <c:v>640</c:v>
                </c:pt>
                <c:pt idx="122">
                  <c:v>645</c:v>
                </c:pt>
                <c:pt idx="123">
                  <c:v>650</c:v>
                </c:pt>
                <c:pt idx="124">
                  <c:v>655</c:v>
                </c:pt>
                <c:pt idx="125">
                  <c:v>660</c:v>
                </c:pt>
                <c:pt idx="126">
                  <c:v>665</c:v>
                </c:pt>
                <c:pt idx="127">
                  <c:v>670</c:v>
                </c:pt>
                <c:pt idx="128">
                  <c:v>675</c:v>
                </c:pt>
                <c:pt idx="129">
                  <c:v>680</c:v>
                </c:pt>
                <c:pt idx="130">
                  <c:v>685</c:v>
                </c:pt>
                <c:pt idx="131">
                  <c:v>690</c:v>
                </c:pt>
                <c:pt idx="132">
                  <c:v>695</c:v>
                </c:pt>
                <c:pt idx="133">
                  <c:v>700</c:v>
                </c:pt>
                <c:pt idx="134">
                  <c:v>705</c:v>
                </c:pt>
                <c:pt idx="135">
                  <c:v>710</c:v>
                </c:pt>
                <c:pt idx="136">
                  <c:v>715</c:v>
                </c:pt>
                <c:pt idx="137">
                  <c:v>720</c:v>
                </c:pt>
                <c:pt idx="138">
                  <c:v>725</c:v>
                </c:pt>
                <c:pt idx="139">
                  <c:v>730</c:v>
                </c:pt>
                <c:pt idx="140">
                  <c:v>735</c:v>
                </c:pt>
                <c:pt idx="141">
                  <c:v>740</c:v>
                </c:pt>
                <c:pt idx="142">
                  <c:v>745</c:v>
                </c:pt>
                <c:pt idx="143">
                  <c:v>750</c:v>
                </c:pt>
                <c:pt idx="144">
                  <c:v>755</c:v>
                </c:pt>
                <c:pt idx="145">
                  <c:v>760</c:v>
                </c:pt>
                <c:pt idx="146">
                  <c:v>765</c:v>
                </c:pt>
                <c:pt idx="147">
                  <c:v>770</c:v>
                </c:pt>
                <c:pt idx="148">
                  <c:v>775</c:v>
                </c:pt>
                <c:pt idx="149">
                  <c:v>780</c:v>
                </c:pt>
                <c:pt idx="150">
                  <c:v>785</c:v>
                </c:pt>
                <c:pt idx="151">
                  <c:v>790</c:v>
                </c:pt>
                <c:pt idx="152">
                  <c:v>795</c:v>
                </c:pt>
                <c:pt idx="153">
                  <c:v>800</c:v>
                </c:pt>
                <c:pt idx="154">
                  <c:v>805</c:v>
                </c:pt>
                <c:pt idx="155">
                  <c:v>810</c:v>
                </c:pt>
                <c:pt idx="156">
                  <c:v>815</c:v>
                </c:pt>
                <c:pt idx="157">
                  <c:v>820</c:v>
                </c:pt>
                <c:pt idx="158">
                  <c:v>825</c:v>
                </c:pt>
                <c:pt idx="159">
                  <c:v>830</c:v>
                </c:pt>
                <c:pt idx="160">
                  <c:v>835</c:v>
                </c:pt>
                <c:pt idx="161">
                  <c:v>840</c:v>
                </c:pt>
                <c:pt idx="162">
                  <c:v>845</c:v>
                </c:pt>
                <c:pt idx="163">
                  <c:v>850</c:v>
                </c:pt>
                <c:pt idx="164">
                  <c:v>855</c:v>
                </c:pt>
                <c:pt idx="165">
                  <c:v>860</c:v>
                </c:pt>
                <c:pt idx="166">
                  <c:v>865</c:v>
                </c:pt>
                <c:pt idx="167">
                  <c:v>870</c:v>
                </c:pt>
                <c:pt idx="168">
                  <c:v>875</c:v>
                </c:pt>
                <c:pt idx="169">
                  <c:v>880</c:v>
                </c:pt>
                <c:pt idx="170">
                  <c:v>885</c:v>
                </c:pt>
                <c:pt idx="171">
                  <c:v>890</c:v>
                </c:pt>
                <c:pt idx="172">
                  <c:v>895</c:v>
                </c:pt>
                <c:pt idx="173">
                  <c:v>900</c:v>
                </c:pt>
                <c:pt idx="174">
                  <c:v>905</c:v>
                </c:pt>
                <c:pt idx="175">
                  <c:v>910</c:v>
                </c:pt>
                <c:pt idx="176">
                  <c:v>915</c:v>
                </c:pt>
                <c:pt idx="177">
                  <c:v>920</c:v>
                </c:pt>
                <c:pt idx="178">
                  <c:v>925</c:v>
                </c:pt>
                <c:pt idx="179">
                  <c:v>930</c:v>
                </c:pt>
                <c:pt idx="180">
                  <c:v>935</c:v>
                </c:pt>
                <c:pt idx="181">
                  <c:v>940</c:v>
                </c:pt>
                <c:pt idx="182">
                  <c:v>945</c:v>
                </c:pt>
                <c:pt idx="183">
                  <c:v>950</c:v>
                </c:pt>
                <c:pt idx="184">
                  <c:v>955</c:v>
                </c:pt>
                <c:pt idx="185">
                  <c:v>960</c:v>
                </c:pt>
                <c:pt idx="186">
                  <c:v>965</c:v>
                </c:pt>
                <c:pt idx="187">
                  <c:v>970</c:v>
                </c:pt>
                <c:pt idx="188">
                  <c:v>975</c:v>
                </c:pt>
                <c:pt idx="189">
                  <c:v>980</c:v>
                </c:pt>
                <c:pt idx="190">
                  <c:v>985</c:v>
                </c:pt>
                <c:pt idx="191">
                  <c:v>990</c:v>
                </c:pt>
                <c:pt idx="192">
                  <c:v>995</c:v>
                </c:pt>
                <c:pt idx="193">
                  <c:v>1000</c:v>
                </c:pt>
                <c:pt idx="194">
                  <c:v>1005</c:v>
                </c:pt>
                <c:pt idx="195">
                  <c:v>1010</c:v>
                </c:pt>
                <c:pt idx="196">
                  <c:v>1015</c:v>
                </c:pt>
                <c:pt idx="197">
                  <c:v>1020</c:v>
                </c:pt>
                <c:pt idx="198">
                  <c:v>1025</c:v>
                </c:pt>
                <c:pt idx="199">
                  <c:v>1030</c:v>
                </c:pt>
                <c:pt idx="200">
                  <c:v>1035</c:v>
                </c:pt>
                <c:pt idx="201">
                  <c:v>1040</c:v>
                </c:pt>
                <c:pt idx="202">
                  <c:v>1045</c:v>
                </c:pt>
                <c:pt idx="203">
                  <c:v>1050</c:v>
                </c:pt>
                <c:pt idx="204">
                  <c:v>1055</c:v>
                </c:pt>
                <c:pt idx="205">
                  <c:v>1060</c:v>
                </c:pt>
                <c:pt idx="206">
                  <c:v>1065</c:v>
                </c:pt>
                <c:pt idx="207">
                  <c:v>1070</c:v>
                </c:pt>
                <c:pt idx="208">
                  <c:v>1075</c:v>
                </c:pt>
                <c:pt idx="209">
                  <c:v>1080</c:v>
                </c:pt>
                <c:pt idx="210">
                  <c:v>1085</c:v>
                </c:pt>
                <c:pt idx="211">
                  <c:v>1090</c:v>
                </c:pt>
                <c:pt idx="212">
                  <c:v>1095</c:v>
                </c:pt>
                <c:pt idx="213">
                  <c:v>1100</c:v>
                </c:pt>
                <c:pt idx="214">
                  <c:v>1105</c:v>
                </c:pt>
                <c:pt idx="215">
                  <c:v>1110</c:v>
                </c:pt>
                <c:pt idx="216">
                  <c:v>1115</c:v>
                </c:pt>
                <c:pt idx="217">
                  <c:v>1120</c:v>
                </c:pt>
                <c:pt idx="218">
                  <c:v>1125</c:v>
                </c:pt>
                <c:pt idx="219">
                  <c:v>1130</c:v>
                </c:pt>
                <c:pt idx="220">
                  <c:v>1135</c:v>
                </c:pt>
                <c:pt idx="221">
                  <c:v>1140</c:v>
                </c:pt>
                <c:pt idx="222">
                  <c:v>1145</c:v>
                </c:pt>
                <c:pt idx="223">
                  <c:v>1150</c:v>
                </c:pt>
                <c:pt idx="224">
                  <c:v>1155</c:v>
                </c:pt>
                <c:pt idx="225">
                  <c:v>1160</c:v>
                </c:pt>
                <c:pt idx="226">
                  <c:v>1165</c:v>
                </c:pt>
                <c:pt idx="227">
                  <c:v>1170</c:v>
                </c:pt>
                <c:pt idx="228">
                  <c:v>1175</c:v>
                </c:pt>
                <c:pt idx="229">
                  <c:v>1180</c:v>
                </c:pt>
                <c:pt idx="230">
                  <c:v>1185</c:v>
                </c:pt>
                <c:pt idx="231">
                  <c:v>1190</c:v>
                </c:pt>
                <c:pt idx="232">
                  <c:v>1195</c:v>
                </c:pt>
                <c:pt idx="233">
                  <c:v>1200</c:v>
                </c:pt>
                <c:pt idx="234">
                  <c:v>1205</c:v>
                </c:pt>
                <c:pt idx="235">
                  <c:v>1210</c:v>
                </c:pt>
                <c:pt idx="236">
                  <c:v>1215</c:v>
                </c:pt>
                <c:pt idx="237">
                  <c:v>1220</c:v>
                </c:pt>
                <c:pt idx="238">
                  <c:v>1225</c:v>
                </c:pt>
                <c:pt idx="239">
                  <c:v>1230</c:v>
                </c:pt>
                <c:pt idx="240">
                  <c:v>1235</c:v>
                </c:pt>
                <c:pt idx="241">
                  <c:v>1240</c:v>
                </c:pt>
              </c:strCache>
            </c:strRef>
          </c:xVal>
          <c:yVal>
            <c:numRef>
              <c:f>'[1]Graphing (testing)'!$AP$2:$AP$243</c:f>
              <c:numCache>
                <c:formatCode>General</c:formatCode>
                <c:ptCount val="242"/>
                <c:pt idx="0">
                  <c:v>17.724</c:v>
                </c:pt>
                <c:pt idx="1">
                  <c:v>17.065999999999999</c:v>
                </c:pt>
                <c:pt idx="2">
                  <c:v>17.529</c:v>
                </c:pt>
                <c:pt idx="3">
                  <c:v>17.856999999999999</c:v>
                </c:pt>
                <c:pt idx="4">
                  <c:v>18.39</c:v>
                </c:pt>
                <c:pt idx="5">
                  <c:v>18.648</c:v>
                </c:pt>
                <c:pt idx="6">
                  <c:v>19.312000000000001</c:v>
                </c:pt>
                <c:pt idx="7">
                  <c:v>19.645</c:v>
                </c:pt>
                <c:pt idx="8">
                  <c:v>18.718</c:v>
                </c:pt>
                <c:pt idx="9">
                  <c:v>18.12</c:v>
                </c:pt>
                <c:pt idx="10">
                  <c:v>19.577999999999999</c:v>
                </c:pt>
                <c:pt idx="11">
                  <c:v>19.843</c:v>
                </c:pt>
                <c:pt idx="12">
                  <c:v>21.693999999999999</c:v>
                </c:pt>
                <c:pt idx="13">
                  <c:v>20.436</c:v>
                </c:pt>
                <c:pt idx="14">
                  <c:v>20.699000000000002</c:v>
                </c:pt>
                <c:pt idx="15">
                  <c:v>20.236999999999998</c:v>
                </c:pt>
                <c:pt idx="16">
                  <c:v>20.506</c:v>
                </c:pt>
                <c:pt idx="17">
                  <c:v>20.963000000000001</c:v>
                </c:pt>
                <c:pt idx="18">
                  <c:v>20.306000000000001</c:v>
                </c:pt>
                <c:pt idx="19">
                  <c:v>20.239000000000001</c:v>
                </c:pt>
                <c:pt idx="20">
                  <c:v>18.451000000000001</c:v>
                </c:pt>
                <c:pt idx="21">
                  <c:v>19.64</c:v>
                </c:pt>
                <c:pt idx="22">
                  <c:v>22.221</c:v>
                </c:pt>
                <c:pt idx="23">
                  <c:v>21.161999999999999</c:v>
                </c:pt>
                <c:pt idx="24">
                  <c:v>22.283999999999999</c:v>
                </c:pt>
                <c:pt idx="25">
                  <c:v>23.012</c:v>
                </c:pt>
                <c:pt idx="26">
                  <c:v>21.292000000000002</c:v>
                </c:pt>
                <c:pt idx="27">
                  <c:v>21.757000000000001</c:v>
                </c:pt>
                <c:pt idx="28">
                  <c:v>22.417999999999999</c:v>
                </c:pt>
                <c:pt idx="29">
                  <c:v>21.23</c:v>
                </c:pt>
                <c:pt idx="30">
                  <c:v>21.033999999999999</c:v>
                </c:pt>
                <c:pt idx="31">
                  <c:v>20.835000000000001</c:v>
                </c:pt>
                <c:pt idx="32">
                  <c:v>22.088000000000001</c:v>
                </c:pt>
                <c:pt idx="33">
                  <c:v>24.338999999999999</c:v>
                </c:pt>
                <c:pt idx="34">
                  <c:v>24.407</c:v>
                </c:pt>
                <c:pt idx="35">
                  <c:v>23.876000000000001</c:v>
                </c:pt>
                <c:pt idx="36">
                  <c:v>22.552</c:v>
                </c:pt>
                <c:pt idx="37">
                  <c:v>23.806999999999999</c:v>
                </c:pt>
                <c:pt idx="38">
                  <c:v>18.056000000000001</c:v>
                </c:pt>
                <c:pt idx="39">
                  <c:v>18.782</c:v>
                </c:pt>
                <c:pt idx="40">
                  <c:v>19.771999999999998</c:v>
                </c:pt>
                <c:pt idx="41">
                  <c:v>18.056999999999999</c:v>
                </c:pt>
                <c:pt idx="42">
                  <c:v>18.056000000000001</c:v>
                </c:pt>
                <c:pt idx="43">
                  <c:v>16.27</c:v>
                </c:pt>
                <c:pt idx="44">
                  <c:v>17.260000000000002</c:v>
                </c:pt>
                <c:pt idx="45">
                  <c:v>20.565999999999999</c:v>
                </c:pt>
                <c:pt idx="46">
                  <c:v>21.690999999999999</c:v>
                </c:pt>
                <c:pt idx="47">
                  <c:v>21.759</c:v>
                </c:pt>
                <c:pt idx="48">
                  <c:v>20.236000000000001</c:v>
                </c:pt>
                <c:pt idx="49">
                  <c:v>16.931000000000001</c:v>
                </c:pt>
                <c:pt idx="50">
                  <c:v>17.327999999999999</c:v>
                </c:pt>
                <c:pt idx="51">
                  <c:v>18.187999999999999</c:v>
                </c:pt>
                <c:pt idx="52">
                  <c:v>20.565999999999999</c:v>
                </c:pt>
                <c:pt idx="53">
                  <c:v>20.373999999999999</c:v>
                </c:pt>
                <c:pt idx="54">
                  <c:v>20.504000000000001</c:v>
                </c:pt>
                <c:pt idx="55">
                  <c:v>19.844000000000001</c:v>
                </c:pt>
                <c:pt idx="56">
                  <c:v>21.427</c:v>
                </c:pt>
                <c:pt idx="57">
                  <c:v>17.327000000000002</c:v>
                </c:pt>
                <c:pt idx="58">
                  <c:v>15.411</c:v>
                </c:pt>
                <c:pt idx="59">
                  <c:v>16.135999999999999</c:v>
                </c:pt>
                <c:pt idx="60">
                  <c:v>16.734999999999999</c:v>
                </c:pt>
                <c:pt idx="61">
                  <c:v>15.21</c:v>
                </c:pt>
                <c:pt idx="62">
                  <c:v>15.215</c:v>
                </c:pt>
                <c:pt idx="63">
                  <c:v>15.212</c:v>
                </c:pt>
                <c:pt idx="64">
                  <c:v>15.475</c:v>
                </c:pt>
                <c:pt idx="65">
                  <c:v>15.943</c:v>
                </c:pt>
                <c:pt idx="66">
                  <c:v>16.670000000000002</c:v>
                </c:pt>
                <c:pt idx="67">
                  <c:v>15.28</c:v>
                </c:pt>
                <c:pt idx="68">
                  <c:v>16.207999999999998</c:v>
                </c:pt>
                <c:pt idx="69">
                  <c:v>16.995999999999999</c:v>
                </c:pt>
                <c:pt idx="70">
                  <c:v>18.385999999999999</c:v>
                </c:pt>
                <c:pt idx="71">
                  <c:v>16.928000000000001</c:v>
                </c:pt>
                <c:pt idx="72">
                  <c:v>17.917999999999999</c:v>
                </c:pt>
                <c:pt idx="73">
                  <c:v>19.181000000000001</c:v>
                </c:pt>
                <c:pt idx="74">
                  <c:v>18.710999999999999</c:v>
                </c:pt>
                <c:pt idx="75">
                  <c:v>19.109000000000002</c:v>
                </c:pt>
                <c:pt idx="76">
                  <c:v>19.042999999999999</c:v>
                </c:pt>
                <c:pt idx="77">
                  <c:v>20.898</c:v>
                </c:pt>
                <c:pt idx="78">
                  <c:v>20.895</c:v>
                </c:pt>
                <c:pt idx="79">
                  <c:v>20.696000000000002</c:v>
                </c:pt>
                <c:pt idx="80">
                  <c:v>20.896999999999998</c:v>
                </c:pt>
                <c:pt idx="81">
                  <c:v>20.501999999999999</c:v>
                </c:pt>
                <c:pt idx="82">
                  <c:v>20.433</c:v>
                </c:pt>
                <c:pt idx="83">
                  <c:v>21.225999999999999</c:v>
                </c:pt>
                <c:pt idx="84">
                  <c:v>20.698</c:v>
                </c:pt>
                <c:pt idx="85">
                  <c:v>20.960999999999999</c:v>
                </c:pt>
                <c:pt idx="86">
                  <c:v>20.033999999999999</c:v>
                </c:pt>
                <c:pt idx="87">
                  <c:v>20.431000000000001</c:v>
                </c:pt>
                <c:pt idx="88">
                  <c:v>21.026</c:v>
                </c:pt>
                <c:pt idx="89">
                  <c:v>21.097000000000001</c:v>
                </c:pt>
                <c:pt idx="90">
                  <c:v>18.646999999999998</c:v>
                </c:pt>
                <c:pt idx="91">
                  <c:v>18.25</c:v>
                </c:pt>
                <c:pt idx="92">
                  <c:v>17.13</c:v>
                </c:pt>
                <c:pt idx="93">
                  <c:v>17.594000000000001</c:v>
                </c:pt>
                <c:pt idx="94">
                  <c:v>18.715</c:v>
                </c:pt>
                <c:pt idx="95">
                  <c:v>20.765999999999998</c:v>
                </c:pt>
                <c:pt idx="96">
                  <c:v>21.754999999999999</c:v>
                </c:pt>
                <c:pt idx="97">
                  <c:v>18.777999999999999</c:v>
                </c:pt>
                <c:pt idx="98">
                  <c:v>15.146000000000001</c:v>
                </c:pt>
                <c:pt idx="99">
                  <c:v>17.125</c:v>
                </c:pt>
                <c:pt idx="100">
                  <c:v>17.058</c:v>
                </c:pt>
                <c:pt idx="101">
                  <c:v>17.061</c:v>
                </c:pt>
                <c:pt idx="102">
                  <c:v>16.859000000000002</c:v>
                </c:pt>
                <c:pt idx="103">
                  <c:v>13.69</c:v>
                </c:pt>
                <c:pt idx="104">
                  <c:v>17.256</c:v>
                </c:pt>
                <c:pt idx="105">
                  <c:v>18.317</c:v>
                </c:pt>
                <c:pt idx="106">
                  <c:v>17.393999999999998</c:v>
                </c:pt>
                <c:pt idx="107">
                  <c:v>18.911000000000001</c:v>
                </c:pt>
                <c:pt idx="108">
                  <c:v>19.042999999999999</c:v>
                </c:pt>
                <c:pt idx="109">
                  <c:v>17.654</c:v>
                </c:pt>
                <c:pt idx="110">
                  <c:v>17.664000000000001</c:v>
                </c:pt>
                <c:pt idx="111">
                  <c:v>16.736000000000001</c:v>
                </c:pt>
                <c:pt idx="112">
                  <c:v>15.94</c:v>
                </c:pt>
                <c:pt idx="113">
                  <c:v>16.472000000000001</c:v>
                </c:pt>
                <c:pt idx="114">
                  <c:v>16.600999999999999</c:v>
                </c:pt>
                <c:pt idx="115">
                  <c:v>17.795999999999999</c:v>
                </c:pt>
                <c:pt idx="116">
                  <c:v>15.347</c:v>
                </c:pt>
                <c:pt idx="117">
                  <c:v>15.808</c:v>
                </c:pt>
                <c:pt idx="118">
                  <c:v>16.338999999999999</c:v>
                </c:pt>
                <c:pt idx="119">
                  <c:v>17.196999999999999</c:v>
                </c:pt>
                <c:pt idx="120">
                  <c:v>18.646999999999998</c:v>
                </c:pt>
                <c:pt idx="121">
                  <c:v>20.167000000000002</c:v>
                </c:pt>
                <c:pt idx="122">
                  <c:v>18.379000000000001</c:v>
                </c:pt>
                <c:pt idx="123">
                  <c:v>21.823</c:v>
                </c:pt>
                <c:pt idx="124">
                  <c:v>23.471</c:v>
                </c:pt>
                <c:pt idx="125">
                  <c:v>24.396999999999998</c:v>
                </c:pt>
                <c:pt idx="126">
                  <c:v>27.306999999999999</c:v>
                </c:pt>
                <c:pt idx="127">
                  <c:v>21.623999999999999</c:v>
                </c:pt>
                <c:pt idx="128">
                  <c:v>21.556000000000001</c:v>
                </c:pt>
                <c:pt idx="129">
                  <c:v>21.818999999999999</c:v>
                </c:pt>
                <c:pt idx="130">
                  <c:v>21.63</c:v>
                </c:pt>
                <c:pt idx="131">
                  <c:v>19.972999999999999</c:v>
                </c:pt>
                <c:pt idx="132">
                  <c:v>20.173999999999999</c:v>
                </c:pt>
                <c:pt idx="133">
                  <c:v>19.245000000000001</c:v>
                </c:pt>
                <c:pt idx="134">
                  <c:v>19.311</c:v>
                </c:pt>
                <c:pt idx="135">
                  <c:v>20.106999999999999</c:v>
                </c:pt>
                <c:pt idx="136">
                  <c:v>21.166</c:v>
                </c:pt>
                <c:pt idx="137">
                  <c:v>20.434999999999999</c:v>
                </c:pt>
                <c:pt idx="138">
                  <c:v>20.440999999999999</c:v>
                </c:pt>
                <c:pt idx="139">
                  <c:v>21.1</c:v>
                </c:pt>
                <c:pt idx="140">
                  <c:v>21.225000000000001</c:v>
                </c:pt>
                <c:pt idx="141">
                  <c:v>20.501000000000001</c:v>
                </c:pt>
                <c:pt idx="142">
                  <c:v>20.234999999999999</c:v>
                </c:pt>
                <c:pt idx="143">
                  <c:v>20.962</c:v>
                </c:pt>
                <c:pt idx="144">
                  <c:v>22.154</c:v>
                </c:pt>
                <c:pt idx="145">
                  <c:v>21.887</c:v>
                </c:pt>
                <c:pt idx="146">
                  <c:v>21.297999999999998</c:v>
                </c:pt>
                <c:pt idx="147">
                  <c:v>21.492999999999999</c:v>
                </c:pt>
                <c:pt idx="148">
                  <c:v>23.148</c:v>
                </c:pt>
                <c:pt idx="149">
                  <c:v>24.797999999999998</c:v>
                </c:pt>
                <c:pt idx="150">
                  <c:v>23.809000000000001</c:v>
                </c:pt>
                <c:pt idx="151">
                  <c:v>22.416</c:v>
                </c:pt>
                <c:pt idx="152">
                  <c:v>22.023</c:v>
                </c:pt>
                <c:pt idx="153">
                  <c:v>21.692</c:v>
                </c:pt>
                <c:pt idx="154">
                  <c:v>22.617000000000001</c:v>
                </c:pt>
                <c:pt idx="155">
                  <c:v>21.622</c:v>
                </c:pt>
                <c:pt idx="156">
                  <c:v>19.178999999999998</c:v>
                </c:pt>
                <c:pt idx="157">
                  <c:v>18.315999999999999</c:v>
                </c:pt>
                <c:pt idx="158">
                  <c:v>21.954999999999998</c:v>
                </c:pt>
                <c:pt idx="159">
                  <c:v>21.425999999999998</c:v>
                </c:pt>
                <c:pt idx="160">
                  <c:v>20.963000000000001</c:v>
                </c:pt>
                <c:pt idx="161">
                  <c:v>19.245000000000001</c:v>
                </c:pt>
                <c:pt idx="162">
                  <c:v>20.035</c:v>
                </c:pt>
                <c:pt idx="163">
                  <c:v>22.484999999999999</c:v>
                </c:pt>
                <c:pt idx="164">
                  <c:v>21.885999999999999</c:v>
                </c:pt>
                <c:pt idx="165">
                  <c:v>20.763000000000002</c:v>
                </c:pt>
                <c:pt idx="166">
                  <c:v>20.501999999999999</c:v>
                </c:pt>
                <c:pt idx="167">
                  <c:v>22.288</c:v>
                </c:pt>
                <c:pt idx="168">
                  <c:v>21.163</c:v>
                </c:pt>
                <c:pt idx="169">
                  <c:v>20.303000000000001</c:v>
                </c:pt>
                <c:pt idx="170">
                  <c:v>19.838999999999999</c:v>
                </c:pt>
                <c:pt idx="171">
                  <c:v>22.088999999999999</c:v>
                </c:pt>
                <c:pt idx="172">
                  <c:v>22.745999999999999</c:v>
                </c:pt>
                <c:pt idx="173">
                  <c:v>21.428000000000001</c:v>
                </c:pt>
                <c:pt idx="174">
                  <c:v>19.111999999999998</c:v>
                </c:pt>
                <c:pt idx="175">
                  <c:v>18.911000000000001</c:v>
                </c:pt>
                <c:pt idx="176">
                  <c:v>21.693000000000001</c:v>
                </c:pt>
                <c:pt idx="177">
                  <c:v>22.882999999999999</c:v>
                </c:pt>
                <c:pt idx="178">
                  <c:v>22.216999999999999</c:v>
                </c:pt>
                <c:pt idx="179">
                  <c:v>21.954999999999998</c:v>
                </c:pt>
                <c:pt idx="180">
                  <c:v>21.89</c:v>
                </c:pt>
                <c:pt idx="181">
                  <c:v>20.704000000000001</c:v>
                </c:pt>
                <c:pt idx="182">
                  <c:v>19.446000000000002</c:v>
                </c:pt>
                <c:pt idx="183">
                  <c:v>22.027000000000001</c:v>
                </c:pt>
                <c:pt idx="184">
                  <c:v>21.099</c:v>
                </c:pt>
                <c:pt idx="185">
                  <c:v>20.372</c:v>
                </c:pt>
                <c:pt idx="186">
                  <c:v>20.306999999999999</c:v>
                </c:pt>
                <c:pt idx="187">
                  <c:v>24.472000000000001</c:v>
                </c:pt>
                <c:pt idx="188">
                  <c:v>22.355</c:v>
                </c:pt>
                <c:pt idx="189">
                  <c:v>23.477</c:v>
                </c:pt>
                <c:pt idx="190">
                  <c:v>23.806000000000001</c:v>
                </c:pt>
                <c:pt idx="191">
                  <c:v>24.728999999999999</c:v>
                </c:pt>
                <c:pt idx="192">
                  <c:v>23.606000000000002</c:v>
                </c:pt>
                <c:pt idx="193">
                  <c:v>23.074999999999999</c:v>
                </c:pt>
                <c:pt idx="194">
                  <c:v>22.55</c:v>
                </c:pt>
                <c:pt idx="195">
                  <c:v>21.885000000000002</c:v>
                </c:pt>
                <c:pt idx="196">
                  <c:v>21.89</c:v>
                </c:pt>
                <c:pt idx="197">
                  <c:v>22.413</c:v>
                </c:pt>
                <c:pt idx="198">
                  <c:v>22.48</c:v>
                </c:pt>
                <c:pt idx="199">
                  <c:v>20.762</c:v>
                </c:pt>
                <c:pt idx="200">
                  <c:v>20.109000000000002</c:v>
                </c:pt>
                <c:pt idx="201">
                  <c:v>20.367999999999999</c:v>
                </c:pt>
                <c:pt idx="202">
                  <c:v>20.303999999999998</c:v>
                </c:pt>
                <c:pt idx="203">
                  <c:v>20.305</c:v>
                </c:pt>
                <c:pt idx="204">
                  <c:v>20.105</c:v>
                </c:pt>
                <c:pt idx="205">
                  <c:v>21.693999999999999</c:v>
                </c:pt>
                <c:pt idx="206">
                  <c:v>22.617000000000001</c:v>
                </c:pt>
                <c:pt idx="207">
                  <c:v>23.079000000000001</c:v>
                </c:pt>
                <c:pt idx="208">
                  <c:v>24.535</c:v>
                </c:pt>
                <c:pt idx="209">
                  <c:v>26.056000000000001</c:v>
                </c:pt>
                <c:pt idx="210">
                  <c:v>24.934000000000001</c:v>
                </c:pt>
                <c:pt idx="211">
                  <c:v>25.196000000000002</c:v>
                </c:pt>
                <c:pt idx="212">
                  <c:v>22.748999999999999</c:v>
                </c:pt>
                <c:pt idx="213">
                  <c:v>24.87</c:v>
                </c:pt>
                <c:pt idx="214">
                  <c:v>25.068999999999999</c:v>
                </c:pt>
                <c:pt idx="215">
                  <c:v>23.547000000000001</c:v>
                </c:pt>
                <c:pt idx="216">
                  <c:v>23.414999999999999</c:v>
                </c:pt>
                <c:pt idx="217">
                  <c:v>24.803000000000001</c:v>
                </c:pt>
                <c:pt idx="218">
                  <c:v>24.600999999999999</c:v>
                </c:pt>
                <c:pt idx="219">
                  <c:v>23.742999999999999</c:v>
                </c:pt>
                <c:pt idx="220">
                  <c:v>23.341000000000001</c:v>
                </c:pt>
                <c:pt idx="221">
                  <c:v>23.077000000000002</c:v>
                </c:pt>
                <c:pt idx="222">
                  <c:v>23.61</c:v>
                </c:pt>
                <c:pt idx="223">
                  <c:v>23.411000000000001</c:v>
                </c:pt>
                <c:pt idx="224">
                  <c:v>22.745000000000001</c:v>
                </c:pt>
                <c:pt idx="225">
                  <c:v>22.550999999999998</c:v>
                </c:pt>
                <c:pt idx="226">
                  <c:v>23.146999999999998</c:v>
                </c:pt>
                <c:pt idx="227">
                  <c:v>22.748000000000001</c:v>
                </c:pt>
                <c:pt idx="228">
                  <c:v>22.48</c:v>
                </c:pt>
                <c:pt idx="229">
                  <c:v>22.221</c:v>
                </c:pt>
                <c:pt idx="230">
                  <c:v>22.814</c:v>
                </c:pt>
                <c:pt idx="231">
                  <c:v>22.419</c:v>
                </c:pt>
                <c:pt idx="232">
                  <c:v>22.021000000000001</c:v>
                </c:pt>
                <c:pt idx="233">
                  <c:v>20.7</c:v>
                </c:pt>
                <c:pt idx="234">
                  <c:v>19.969000000000001</c:v>
                </c:pt>
                <c:pt idx="235">
                  <c:v>19.047000000000001</c:v>
                </c:pt>
                <c:pt idx="236">
                  <c:v>19.045000000000002</c:v>
                </c:pt>
                <c:pt idx="237">
                  <c:v>16.997</c:v>
                </c:pt>
                <c:pt idx="238">
                  <c:v>12.827999999999999</c:v>
                </c:pt>
                <c:pt idx="239">
                  <c:v>6.1479999999999997</c:v>
                </c:pt>
                <c:pt idx="240">
                  <c:v>2.383</c:v>
                </c:pt>
                <c:pt idx="241">
                  <c:v>0.86199999999999999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B3-4607-952D-FC341EAB2693}"/>
            </c:ext>
          </c:extLst>
        </c:ser>
        <c:ser>
          <c:idx val="2"/>
          <c:order val="2"/>
          <c:tx>
            <c:v>C/N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'[1]Graphing (testing)'!$D$3:$D$52</c:f>
              <c:strCache>
                <c:ptCount val="50"/>
                <c:pt idx="0">
                  <c:v>21</c:v>
                </c:pt>
                <c:pt idx="1">
                  <c:v>30</c:v>
                </c:pt>
                <c:pt idx="2">
                  <c:v>43</c:v>
                </c:pt>
                <c:pt idx="3">
                  <c:v>49</c:v>
                </c:pt>
                <c:pt idx="4">
                  <c:v>58.5</c:v>
                </c:pt>
                <c:pt idx="5">
                  <c:v>69.5</c:v>
                </c:pt>
                <c:pt idx="6">
                  <c:v>79</c:v>
                </c:pt>
                <c:pt idx="7">
                  <c:v>90.5</c:v>
                </c:pt>
                <c:pt idx="8">
                  <c:v>100</c:v>
                </c:pt>
                <c:pt idx="9">
                  <c:v>108.5</c:v>
                </c:pt>
                <c:pt idx="10">
                  <c:v>119</c:v>
                </c:pt>
                <c:pt idx="11">
                  <c:v>128.5</c:v>
                </c:pt>
                <c:pt idx="12">
                  <c:v>140</c:v>
                </c:pt>
                <c:pt idx="13">
                  <c:v>148.5</c:v>
                </c:pt>
                <c:pt idx="14">
                  <c:v>161</c:v>
                </c:pt>
                <c:pt idx="15">
                  <c:v>169.5</c:v>
                </c:pt>
                <c:pt idx="16">
                  <c:v>179</c:v>
                </c:pt>
                <c:pt idx="17">
                  <c:v>189</c:v>
                </c:pt>
                <c:pt idx="18">
                  <c:v>199.5</c:v>
                </c:pt>
                <c:pt idx="19">
                  <c:v>209</c:v>
                </c:pt>
                <c:pt idx="20">
                  <c:v>218.5</c:v>
                </c:pt>
                <c:pt idx="21">
                  <c:v>228.5</c:v>
                </c:pt>
                <c:pt idx="22">
                  <c:v>235</c:v>
                </c:pt>
                <c:pt idx="23">
                  <c:v>244</c:v>
                </c:pt>
                <c:pt idx="24">
                  <c:v>252.5</c:v>
                </c:pt>
                <c:pt idx="25">
                  <c:v>261</c:v>
                </c:pt>
                <c:pt idx="26">
                  <c:v>263</c:v>
                </c:pt>
                <c:pt idx="27">
                  <c:v>271.5</c:v>
                </c:pt>
                <c:pt idx="28">
                  <c:v>277.5</c:v>
                </c:pt>
                <c:pt idx="29">
                  <c:v>285</c:v>
                </c:pt>
                <c:pt idx="30">
                  <c:v>292.5</c:v>
                </c:pt>
                <c:pt idx="31">
                  <c:v>297.5</c:v>
                </c:pt>
                <c:pt idx="32">
                  <c:v>301</c:v>
                </c:pt>
                <c:pt idx="33">
                  <c:v>303</c:v>
                </c:pt>
                <c:pt idx="34">
                  <c:v>305</c:v>
                </c:pt>
                <c:pt idx="35">
                  <c:v>308</c:v>
                </c:pt>
                <c:pt idx="36">
                  <c:v>312.5</c:v>
                </c:pt>
                <c:pt idx="37">
                  <c:v>317.5</c:v>
                </c:pt>
                <c:pt idx="38">
                  <c:v>322.5</c:v>
                </c:pt>
                <c:pt idx="39">
                  <c:v>327.5</c:v>
                </c:pt>
                <c:pt idx="40">
                  <c:v>332.5</c:v>
                </c:pt>
                <c:pt idx="41">
                  <c:v>339</c:v>
                </c:pt>
                <c:pt idx="42">
                  <c:v>346.5</c:v>
                </c:pt>
                <c:pt idx="43">
                  <c:v>352.5</c:v>
                </c:pt>
                <c:pt idx="44">
                  <c:v>362.5</c:v>
                </c:pt>
                <c:pt idx="45">
                  <c:v>366.5</c:v>
                </c:pt>
                <c:pt idx="46">
                  <c:v>369.5</c:v>
                </c:pt>
                <c:pt idx="47">
                  <c:v>375.5</c:v>
                </c:pt>
                <c:pt idx="48">
                  <c:v>381.5</c:v>
                </c:pt>
                <c:pt idx="49">
                  <c:v>384.5</c:v>
                </c:pt>
              </c:strCache>
            </c:strRef>
          </c:xVal>
          <c:yVal>
            <c:numRef>
              <c:f>'[1]Graphing (testing)'!$M$3:$M$52</c:f>
              <c:numCache>
                <c:formatCode>General</c:formatCode>
                <c:ptCount val="50"/>
                <c:pt idx="0">
                  <c:v>7.7099000000000002</c:v>
                </c:pt>
                <c:pt idx="1">
                  <c:v>9.0305</c:v>
                </c:pt>
                <c:pt idx="2">
                  <c:v>8.9145000000000003</c:v>
                </c:pt>
                <c:pt idx="3">
                  <c:v>10.451000000000001</c:v>
                </c:pt>
                <c:pt idx="4">
                  <c:v>8.9504000000000001</c:v>
                </c:pt>
                <c:pt idx="5">
                  <c:v>9.2109000000000005</c:v>
                </c:pt>
                <c:pt idx="6">
                  <c:v>9.6591000000000005</c:v>
                </c:pt>
                <c:pt idx="7">
                  <c:v>9.1496999999999993</c:v>
                </c:pt>
                <c:pt idx="8">
                  <c:v>9.6885999999999992</c:v>
                </c:pt>
                <c:pt idx="9">
                  <c:v>10.914400000000001</c:v>
                </c:pt>
                <c:pt idx="10">
                  <c:v>8.9461999999999993</c:v>
                </c:pt>
                <c:pt idx="11">
                  <c:v>9.3889999999999993</c:v>
                </c:pt>
                <c:pt idx="12">
                  <c:v>8.5960999999999999</c:v>
                </c:pt>
                <c:pt idx="13">
                  <c:v>8.3588000000000005</c:v>
                </c:pt>
                <c:pt idx="14">
                  <c:v>9.2222000000000008</c:v>
                </c:pt>
                <c:pt idx="15">
                  <c:v>9.3114000000000008</c:v>
                </c:pt>
                <c:pt idx="16">
                  <c:v>11.0517</c:v>
                </c:pt>
                <c:pt idx="17">
                  <c:v>10.6897</c:v>
                </c:pt>
                <c:pt idx="18">
                  <c:v>10.0845</c:v>
                </c:pt>
                <c:pt idx="19">
                  <c:v>13.5007</c:v>
                </c:pt>
                <c:pt idx="20">
                  <c:v>10.170299999999999</c:v>
                </c:pt>
                <c:pt idx="21">
                  <c:v>13.704499999999999</c:v>
                </c:pt>
                <c:pt idx="22">
                  <c:v>9.1252999999999993</c:v>
                </c:pt>
                <c:pt idx="23">
                  <c:v>10.6632</c:v>
                </c:pt>
                <c:pt idx="24">
                  <c:v>8.6212999999999997</c:v>
                </c:pt>
                <c:pt idx="25">
                  <c:v>8.6237999999999992</c:v>
                </c:pt>
                <c:pt idx="26">
                  <c:v>8.7345000000000006</c:v>
                </c:pt>
                <c:pt idx="27">
                  <c:v>9.6498000000000008</c:v>
                </c:pt>
                <c:pt idx="28">
                  <c:v>9.2571999999999992</c:v>
                </c:pt>
                <c:pt idx="29">
                  <c:v>8.7111000000000001</c:v>
                </c:pt>
                <c:pt idx="30">
                  <c:v>8.5368999999999993</c:v>
                </c:pt>
                <c:pt idx="31">
                  <c:v>8.8086000000000002</c:v>
                </c:pt>
                <c:pt idx="32">
                  <c:v>9.1929999999999996</c:v>
                </c:pt>
                <c:pt idx="33">
                  <c:v>10.214700000000001</c:v>
                </c:pt>
                <c:pt idx="34">
                  <c:v>9.7715999999999994</c:v>
                </c:pt>
                <c:pt idx="35">
                  <c:v>10.1396</c:v>
                </c:pt>
                <c:pt idx="36">
                  <c:v>10.236499999999999</c:v>
                </c:pt>
                <c:pt idx="37">
                  <c:v>10.541499999999999</c:v>
                </c:pt>
                <c:pt idx="38">
                  <c:v>10.3469</c:v>
                </c:pt>
                <c:pt idx="39">
                  <c:v>8.3813999999999993</c:v>
                </c:pt>
                <c:pt idx="40">
                  <c:v>8.6341999999999999</c:v>
                </c:pt>
                <c:pt idx="41">
                  <c:v>8.7824000000000009</c:v>
                </c:pt>
                <c:pt idx="42">
                  <c:v>8.4174000000000007</c:v>
                </c:pt>
                <c:pt idx="43">
                  <c:v>8.7095000000000002</c:v>
                </c:pt>
                <c:pt idx="44">
                  <c:v>8.6585000000000001</c:v>
                </c:pt>
                <c:pt idx="45">
                  <c:v>6.6138000000000003</c:v>
                </c:pt>
                <c:pt idx="46">
                  <c:v>7.7596999999999996</c:v>
                </c:pt>
                <c:pt idx="47">
                  <c:v>8.2583000000000002</c:v>
                </c:pt>
                <c:pt idx="48">
                  <c:v>8.8497000000000003</c:v>
                </c:pt>
                <c:pt idx="49">
                  <c:v>8.6887000000000008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B3-4607-952D-FC341EAB2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708240"/>
        <c:axId val="389703440"/>
      </c:scatterChart>
      <c:valAx>
        <c:axId val="36065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656320"/>
        <c:crosses val="autoZero"/>
        <c:crossBetween val="midCat"/>
      </c:valAx>
      <c:valAx>
        <c:axId val="36065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655840"/>
        <c:crosses val="autoZero"/>
        <c:crossBetween val="midCat"/>
      </c:valAx>
      <c:valAx>
        <c:axId val="3897034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708240"/>
        <c:crosses val="max"/>
        <c:crossBetween val="midCat"/>
      </c:valAx>
      <c:valAx>
        <c:axId val="389708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970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'[1]Graphing (testing)'!$J$2</c:f>
              <c:strCache>
                <c:ptCount val="1"/>
                <c:pt idx="0">
                  <c:v>Sorting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'[1]Graphing (testing)'!$D$3:$D$178</c:f>
              <c:strCache>
                <c:ptCount val="176"/>
                <c:pt idx="0">
                  <c:v>21</c:v>
                </c:pt>
                <c:pt idx="1">
                  <c:v>30</c:v>
                </c:pt>
                <c:pt idx="2">
                  <c:v>43</c:v>
                </c:pt>
                <c:pt idx="3">
                  <c:v>49</c:v>
                </c:pt>
                <c:pt idx="4">
                  <c:v>58.5</c:v>
                </c:pt>
                <c:pt idx="5">
                  <c:v>69.5</c:v>
                </c:pt>
                <c:pt idx="6">
                  <c:v>79</c:v>
                </c:pt>
                <c:pt idx="7">
                  <c:v>90.5</c:v>
                </c:pt>
                <c:pt idx="8">
                  <c:v>100</c:v>
                </c:pt>
                <c:pt idx="9">
                  <c:v>108.5</c:v>
                </c:pt>
                <c:pt idx="10">
                  <c:v>119</c:v>
                </c:pt>
                <c:pt idx="11">
                  <c:v>128.5</c:v>
                </c:pt>
                <c:pt idx="12">
                  <c:v>140</c:v>
                </c:pt>
                <c:pt idx="13">
                  <c:v>148.5</c:v>
                </c:pt>
                <c:pt idx="14">
                  <c:v>161</c:v>
                </c:pt>
                <c:pt idx="15">
                  <c:v>169.5</c:v>
                </c:pt>
                <c:pt idx="16">
                  <c:v>179</c:v>
                </c:pt>
                <c:pt idx="17">
                  <c:v>189</c:v>
                </c:pt>
                <c:pt idx="18">
                  <c:v>199.5</c:v>
                </c:pt>
                <c:pt idx="19">
                  <c:v>209</c:v>
                </c:pt>
                <c:pt idx="20">
                  <c:v>218.5</c:v>
                </c:pt>
                <c:pt idx="21">
                  <c:v>228.5</c:v>
                </c:pt>
                <c:pt idx="22">
                  <c:v>235</c:v>
                </c:pt>
                <c:pt idx="23">
                  <c:v>244</c:v>
                </c:pt>
                <c:pt idx="24">
                  <c:v>252.5</c:v>
                </c:pt>
                <c:pt idx="25">
                  <c:v>261</c:v>
                </c:pt>
                <c:pt idx="26">
                  <c:v>263</c:v>
                </c:pt>
                <c:pt idx="27">
                  <c:v>271.5</c:v>
                </c:pt>
                <c:pt idx="28">
                  <c:v>277.5</c:v>
                </c:pt>
                <c:pt idx="29">
                  <c:v>285</c:v>
                </c:pt>
                <c:pt idx="30">
                  <c:v>292.5</c:v>
                </c:pt>
                <c:pt idx="31">
                  <c:v>297.5</c:v>
                </c:pt>
                <c:pt idx="32">
                  <c:v>301</c:v>
                </c:pt>
                <c:pt idx="33">
                  <c:v>303</c:v>
                </c:pt>
                <c:pt idx="34">
                  <c:v>305</c:v>
                </c:pt>
                <c:pt idx="35">
                  <c:v>308</c:v>
                </c:pt>
                <c:pt idx="36">
                  <c:v>312.5</c:v>
                </c:pt>
                <c:pt idx="37">
                  <c:v>317.5</c:v>
                </c:pt>
                <c:pt idx="38">
                  <c:v>322.5</c:v>
                </c:pt>
                <c:pt idx="39">
                  <c:v>327.5</c:v>
                </c:pt>
                <c:pt idx="40">
                  <c:v>332.5</c:v>
                </c:pt>
                <c:pt idx="41">
                  <c:v>339</c:v>
                </c:pt>
                <c:pt idx="42">
                  <c:v>346.5</c:v>
                </c:pt>
                <c:pt idx="43">
                  <c:v>352.5</c:v>
                </c:pt>
                <c:pt idx="44">
                  <c:v>362.5</c:v>
                </c:pt>
                <c:pt idx="45">
                  <c:v>366.5</c:v>
                </c:pt>
                <c:pt idx="46">
                  <c:v>369.5</c:v>
                </c:pt>
                <c:pt idx="47">
                  <c:v>375.5</c:v>
                </c:pt>
                <c:pt idx="48">
                  <c:v>381.5</c:v>
                </c:pt>
                <c:pt idx="49">
                  <c:v>384.5</c:v>
                </c:pt>
                <c:pt idx="50">
                  <c:v>388</c:v>
                </c:pt>
                <c:pt idx="51">
                  <c:v>391.5</c:v>
                </c:pt>
                <c:pt idx="52">
                  <c:v>397.5</c:v>
                </c:pt>
                <c:pt idx="53">
                  <c:v>404</c:v>
                </c:pt>
                <c:pt idx="54">
                  <c:v>414</c:v>
                </c:pt>
                <c:pt idx="55">
                  <c:v>418</c:v>
                </c:pt>
                <c:pt idx="56">
                  <c:v>421.5</c:v>
                </c:pt>
                <c:pt idx="57">
                  <c:v>424.5</c:v>
                </c:pt>
                <c:pt idx="58">
                  <c:v>428</c:v>
                </c:pt>
                <c:pt idx="59">
                  <c:v>432.5</c:v>
                </c:pt>
                <c:pt idx="60">
                  <c:v>437.5</c:v>
                </c:pt>
                <c:pt idx="61">
                  <c:v>442.5</c:v>
                </c:pt>
                <c:pt idx="62">
                  <c:v>447.5</c:v>
                </c:pt>
                <c:pt idx="63">
                  <c:v>452.5</c:v>
                </c:pt>
                <c:pt idx="64">
                  <c:v>457.5</c:v>
                </c:pt>
                <c:pt idx="65">
                  <c:v>461</c:v>
                </c:pt>
                <c:pt idx="66">
                  <c:v>463.5</c:v>
                </c:pt>
                <c:pt idx="67">
                  <c:v>467.5</c:v>
                </c:pt>
                <c:pt idx="68">
                  <c:v>472.5</c:v>
                </c:pt>
                <c:pt idx="69">
                  <c:v>476</c:v>
                </c:pt>
                <c:pt idx="70">
                  <c:v>478.5</c:v>
                </c:pt>
                <c:pt idx="71">
                  <c:v>481.5</c:v>
                </c:pt>
                <c:pt idx="72">
                  <c:v>484</c:v>
                </c:pt>
                <c:pt idx="73">
                  <c:v>487</c:v>
                </c:pt>
                <c:pt idx="74">
                  <c:v>490</c:v>
                </c:pt>
                <c:pt idx="75">
                  <c:v>492</c:v>
                </c:pt>
                <c:pt idx="76">
                  <c:v>494</c:v>
                </c:pt>
                <c:pt idx="77">
                  <c:v>497.5</c:v>
                </c:pt>
                <c:pt idx="78">
                  <c:v>502.5</c:v>
                </c:pt>
                <c:pt idx="79">
                  <c:v>508</c:v>
                </c:pt>
                <c:pt idx="80">
                  <c:v>512.5</c:v>
                </c:pt>
                <c:pt idx="81">
                  <c:v>517.5</c:v>
                </c:pt>
                <c:pt idx="82">
                  <c:v>521.5</c:v>
                </c:pt>
                <c:pt idx="83">
                  <c:v>524.5</c:v>
                </c:pt>
                <c:pt idx="84">
                  <c:v>528</c:v>
                </c:pt>
                <c:pt idx="85">
                  <c:v>531</c:v>
                </c:pt>
                <c:pt idx="86">
                  <c:v>535</c:v>
                </c:pt>
                <c:pt idx="87">
                  <c:v>539</c:v>
                </c:pt>
                <c:pt idx="88">
                  <c:v>541</c:v>
                </c:pt>
                <c:pt idx="89">
                  <c:v>543</c:v>
                </c:pt>
                <c:pt idx="90">
                  <c:v>545</c:v>
                </c:pt>
                <c:pt idx="91">
                  <c:v>547</c:v>
                </c:pt>
                <c:pt idx="92">
                  <c:v>549</c:v>
                </c:pt>
                <c:pt idx="93">
                  <c:v>552.5</c:v>
                </c:pt>
                <c:pt idx="94">
                  <c:v>557.5</c:v>
                </c:pt>
                <c:pt idx="95">
                  <c:v>561</c:v>
                </c:pt>
                <c:pt idx="96">
                  <c:v>563</c:v>
                </c:pt>
                <c:pt idx="97">
                  <c:v>565</c:v>
                </c:pt>
                <c:pt idx="98">
                  <c:v>567</c:v>
                </c:pt>
                <c:pt idx="99">
                  <c:v>569</c:v>
                </c:pt>
                <c:pt idx="100">
                  <c:v>572.5</c:v>
                </c:pt>
                <c:pt idx="101">
                  <c:v>577.5</c:v>
                </c:pt>
                <c:pt idx="102">
                  <c:v>582.5</c:v>
                </c:pt>
                <c:pt idx="103">
                  <c:v>587.5</c:v>
                </c:pt>
                <c:pt idx="104">
                  <c:v>605</c:v>
                </c:pt>
                <c:pt idx="105">
                  <c:v>615</c:v>
                </c:pt>
                <c:pt idx="106">
                  <c:v>625</c:v>
                </c:pt>
                <c:pt idx="107">
                  <c:v>635</c:v>
                </c:pt>
                <c:pt idx="108">
                  <c:v>645</c:v>
                </c:pt>
                <c:pt idx="109">
                  <c:v>655</c:v>
                </c:pt>
                <c:pt idx="110">
                  <c:v>665</c:v>
                </c:pt>
                <c:pt idx="111">
                  <c:v>675</c:v>
                </c:pt>
                <c:pt idx="112">
                  <c:v>685</c:v>
                </c:pt>
                <c:pt idx="113">
                  <c:v>695</c:v>
                </c:pt>
                <c:pt idx="114">
                  <c:v>705</c:v>
                </c:pt>
                <c:pt idx="115">
                  <c:v>715</c:v>
                </c:pt>
                <c:pt idx="116">
                  <c:v>725</c:v>
                </c:pt>
                <c:pt idx="117">
                  <c:v>735</c:v>
                </c:pt>
                <c:pt idx="118">
                  <c:v>745</c:v>
                </c:pt>
                <c:pt idx="119">
                  <c:v>755</c:v>
                </c:pt>
                <c:pt idx="120">
                  <c:v>765</c:v>
                </c:pt>
                <c:pt idx="121">
                  <c:v>775</c:v>
                </c:pt>
                <c:pt idx="122">
                  <c:v>785</c:v>
                </c:pt>
                <c:pt idx="123">
                  <c:v>795</c:v>
                </c:pt>
                <c:pt idx="124">
                  <c:v>805</c:v>
                </c:pt>
                <c:pt idx="125">
                  <c:v>815</c:v>
                </c:pt>
                <c:pt idx="126">
                  <c:v>825</c:v>
                </c:pt>
                <c:pt idx="127">
                  <c:v>835</c:v>
                </c:pt>
                <c:pt idx="128">
                  <c:v>850</c:v>
                </c:pt>
                <c:pt idx="129">
                  <c:v>851.5</c:v>
                </c:pt>
                <c:pt idx="130">
                  <c:v>856.5</c:v>
                </c:pt>
                <c:pt idx="131">
                  <c:v>862</c:v>
                </c:pt>
                <c:pt idx="132">
                  <c:v>866</c:v>
                </c:pt>
                <c:pt idx="133">
                  <c:v>869.5</c:v>
                </c:pt>
                <c:pt idx="134">
                  <c:v>872.5</c:v>
                </c:pt>
                <c:pt idx="135">
                  <c:v>878</c:v>
                </c:pt>
                <c:pt idx="136">
                  <c:v>884</c:v>
                </c:pt>
                <c:pt idx="137">
                  <c:v>888</c:v>
                </c:pt>
                <c:pt idx="138">
                  <c:v>895</c:v>
                </c:pt>
                <c:pt idx="139">
                  <c:v>905</c:v>
                </c:pt>
                <c:pt idx="140">
                  <c:v>915</c:v>
                </c:pt>
                <c:pt idx="141">
                  <c:v>925</c:v>
                </c:pt>
                <c:pt idx="142">
                  <c:v>933.5</c:v>
                </c:pt>
                <c:pt idx="143">
                  <c:v>938.5</c:v>
                </c:pt>
                <c:pt idx="144">
                  <c:v>945</c:v>
                </c:pt>
                <c:pt idx="145">
                  <c:v>952</c:v>
                </c:pt>
                <c:pt idx="146">
                  <c:v>957</c:v>
                </c:pt>
                <c:pt idx="147">
                  <c:v>962.5</c:v>
                </c:pt>
                <c:pt idx="148">
                  <c:v>966</c:v>
                </c:pt>
                <c:pt idx="149">
                  <c:v>970</c:v>
                </c:pt>
                <c:pt idx="150">
                  <c:v>975.5</c:v>
                </c:pt>
                <c:pt idx="151">
                  <c:v>984</c:v>
                </c:pt>
                <c:pt idx="152">
                  <c:v>995</c:v>
                </c:pt>
                <c:pt idx="153">
                  <c:v>1008</c:v>
                </c:pt>
                <c:pt idx="154">
                  <c:v>1018</c:v>
                </c:pt>
                <c:pt idx="155">
                  <c:v>1025</c:v>
                </c:pt>
                <c:pt idx="156">
                  <c:v>1035</c:v>
                </c:pt>
                <c:pt idx="157">
                  <c:v>1045.5</c:v>
                </c:pt>
                <c:pt idx="158">
                  <c:v>1055.5</c:v>
                </c:pt>
                <c:pt idx="159">
                  <c:v>1065.5</c:v>
                </c:pt>
                <c:pt idx="160">
                  <c:v>1075.5</c:v>
                </c:pt>
                <c:pt idx="161">
                  <c:v>1085.5</c:v>
                </c:pt>
                <c:pt idx="162">
                  <c:v>1095.5</c:v>
                </c:pt>
                <c:pt idx="163">
                  <c:v>1105.5</c:v>
                </c:pt>
                <c:pt idx="164">
                  <c:v>1115.5</c:v>
                </c:pt>
                <c:pt idx="165">
                  <c:v>1125.5</c:v>
                </c:pt>
                <c:pt idx="166">
                  <c:v>1135.5</c:v>
                </c:pt>
                <c:pt idx="167">
                  <c:v>1145.5</c:v>
                </c:pt>
                <c:pt idx="168">
                  <c:v>1155.5</c:v>
                </c:pt>
                <c:pt idx="169">
                  <c:v>1165.5</c:v>
                </c:pt>
                <c:pt idx="170">
                  <c:v>1175.5</c:v>
                </c:pt>
                <c:pt idx="171">
                  <c:v>1185.5</c:v>
                </c:pt>
                <c:pt idx="172">
                  <c:v>1195.5</c:v>
                </c:pt>
                <c:pt idx="173">
                  <c:v>1205.5</c:v>
                </c:pt>
                <c:pt idx="174">
                  <c:v>1214</c:v>
                </c:pt>
                <c:pt idx="175">
                  <c:v>1219.5</c:v>
                </c:pt>
              </c:strCache>
            </c:strRef>
          </c:xVal>
          <c:yVal>
            <c:numRef>
              <c:f>'[1]Graphing (testing)'!$J$3:$J$178</c:f>
              <c:numCache>
                <c:formatCode>General</c:formatCode>
                <c:ptCount val="176"/>
                <c:pt idx="0">
                  <c:v>2.2390071462300098</c:v>
                </c:pt>
                <c:pt idx="1">
                  <c:v>2.2181173431859298</c:v>
                </c:pt>
                <c:pt idx="2">
                  <c:v>2.37037687661411</c:v>
                </c:pt>
                <c:pt idx="3">
                  <c:v>2.3284257118607901</c:v>
                </c:pt>
                <c:pt idx="4">
                  <c:v>2.4378083727308102</c:v>
                </c:pt>
                <c:pt idx="5">
                  <c:v>2.4426459832283101</c:v>
                </c:pt>
                <c:pt idx="6">
                  <c:v>2.2752129756868702</c:v>
                </c:pt>
                <c:pt idx="7">
                  <c:v>2.43105571695863</c:v>
                </c:pt>
                <c:pt idx="8">
                  <c:v>2.3728498731933101</c:v>
                </c:pt>
                <c:pt idx="9">
                  <c:v>2.2822595213955199</c:v>
                </c:pt>
                <c:pt idx="10">
                  <c:v>2.3066443193034001</c:v>
                </c:pt>
                <c:pt idx="11">
                  <c:v>2.1990086277921299</c:v>
                </c:pt>
                <c:pt idx="12">
                  <c:v>2.4450907490290401</c:v>
                </c:pt>
                <c:pt idx="13">
                  <c:v>2.5803132090273602</c:v>
                </c:pt>
                <c:pt idx="14">
                  <c:v>2.4236529512711402</c:v>
                </c:pt>
                <c:pt idx="15">
                  <c:v>2.39370692361747</c:v>
                </c:pt>
                <c:pt idx="16">
                  <c:v>2.2274609159752301</c:v>
                </c:pt>
                <c:pt idx="17">
                  <c:v>2.2643610047056</c:v>
                </c:pt>
                <c:pt idx="18">
                  <c:v>2.1412764088268901</c:v>
                </c:pt>
                <c:pt idx="19">
                  <c:v>2.26842895805683</c:v>
                </c:pt>
                <c:pt idx="20">
                  <c:v>2.3408288450599102</c:v>
                </c:pt>
                <c:pt idx="21">
                  <c:v>2.2665469132248202</c:v>
                </c:pt>
                <c:pt idx="22">
                  <c:v>2.2704508125829999</c:v>
                </c:pt>
                <c:pt idx="23">
                  <c:v>2.3294562368165002</c:v>
                </c:pt>
                <c:pt idx="24">
                  <c:v>2.2360608620371401</c:v>
                </c:pt>
                <c:pt idx="25">
                  <c:v>2.5218204825830401</c:v>
                </c:pt>
                <c:pt idx="26">
                  <c:v>2.59628840562495</c:v>
                </c:pt>
                <c:pt idx="27">
                  <c:v>2.2851856528110002</c:v>
                </c:pt>
                <c:pt idx="28">
                  <c:v>2.3278268148946402</c:v>
                </c:pt>
                <c:pt idx="29">
                  <c:v>2.4066392118497602</c:v>
                </c:pt>
                <c:pt idx="30">
                  <c:v>2.5065541490858299</c:v>
                </c:pt>
                <c:pt idx="31">
                  <c:v>2.4517993699717602</c:v>
                </c:pt>
                <c:pt idx="32">
                  <c:v>2.4668971293855502</c:v>
                </c:pt>
                <c:pt idx="33">
                  <c:v>2.4849331094734999</c:v>
                </c:pt>
                <c:pt idx="34">
                  <c:v>2.4802326104720498</c:v>
                </c:pt>
                <c:pt idx="35">
                  <c:v>2.4499611276926001</c:v>
                </c:pt>
                <c:pt idx="36">
                  <c:v>2.2391593031900001</c:v>
                </c:pt>
                <c:pt idx="37">
                  <c:v>2.24038993248625</c:v>
                </c:pt>
                <c:pt idx="38">
                  <c:v>2.9409043170345499</c:v>
                </c:pt>
                <c:pt idx="39">
                  <c:v>2.66053946387908</c:v>
                </c:pt>
                <c:pt idx="40">
                  <c:v>2.67529886711888</c:v>
                </c:pt>
                <c:pt idx="41">
                  <c:v>2.9098701770152702</c:v>
                </c:pt>
                <c:pt idx="42">
                  <c:v>2.7461037805296802</c:v>
                </c:pt>
                <c:pt idx="43">
                  <c:v>2.5733192601130401</c:v>
                </c:pt>
                <c:pt idx="44">
                  <c:v>2.7149297785298399</c:v>
                </c:pt>
                <c:pt idx="45">
                  <c:v>2.6452460941292499</c:v>
                </c:pt>
                <c:pt idx="46">
                  <c:v>2.5263380451174702</c:v>
                </c:pt>
                <c:pt idx="47">
                  <c:v>2.67676978126023</c:v>
                </c:pt>
                <c:pt idx="48">
                  <c:v>2.69068749001298</c:v>
                </c:pt>
                <c:pt idx="49">
                  <c:v>2.6335857527278699</c:v>
                </c:pt>
                <c:pt idx="50">
                  <c:v>2.4635326709811398</c:v>
                </c:pt>
                <c:pt idx="51">
                  <c:v>2.4028268564569202</c:v>
                </c:pt>
                <c:pt idx="52">
                  <c:v>2.6766375587540998</c:v>
                </c:pt>
                <c:pt idx="53">
                  <c:v>2.63801678688362</c:v>
                </c:pt>
                <c:pt idx="54">
                  <c:v>2.5438331806357199</c:v>
                </c:pt>
                <c:pt idx="55">
                  <c:v>2.4904276959731502</c:v>
                </c:pt>
                <c:pt idx="56">
                  <c:v>2.43429542142287</c:v>
                </c:pt>
                <c:pt idx="57">
                  <c:v>2.23290442390141</c:v>
                </c:pt>
                <c:pt idx="58">
                  <c:v>2.2952997647965798</c:v>
                </c:pt>
                <c:pt idx="59">
                  <c:v>2.3848042175520598</c:v>
                </c:pt>
                <c:pt idx="60">
                  <c:v>2.24432462613203</c:v>
                </c:pt>
                <c:pt idx="61">
                  <c:v>2.3904522674896098</c:v>
                </c:pt>
                <c:pt idx="62">
                  <c:v>2.4068032417591598</c:v>
                </c:pt>
                <c:pt idx="63">
                  <c:v>2.4204352426426099</c:v>
                </c:pt>
                <c:pt idx="64">
                  <c:v>2.3548181342551202</c:v>
                </c:pt>
                <c:pt idx="65">
                  <c:v>2.3213231746835499</c:v>
                </c:pt>
                <c:pt idx="66">
                  <c:v>2.2067310249175098</c:v>
                </c:pt>
                <c:pt idx="67">
                  <c:v>2.33676690833496</c:v>
                </c:pt>
                <c:pt idx="68">
                  <c:v>2.49244625550135</c:v>
                </c:pt>
                <c:pt idx="69">
                  <c:v>2.36504571634479</c:v>
                </c:pt>
                <c:pt idx="70">
                  <c:v>2.6132628808534402</c:v>
                </c:pt>
                <c:pt idx="72">
                  <c:v>2.3928532892204402</c:v>
                </c:pt>
                <c:pt idx="73">
                  <c:v>2.20187277011956</c:v>
                </c:pt>
                <c:pt idx="74">
                  <c:v>2.3600287005241398</c:v>
                </c:pt>
                <c:pt idx="75">
                  <c:v>2.1138273350771</c:v>
                </c:pt>
                <c:pt idx="76">
                  <c:v>2.2267847112719998</c:v>
                </c:pt>
                <c:pt idx="77">
                  <c:v>2.2323713286114102</c:v>
                </c:pt>
                <c:pt idx="78">
                  <c:v>2.5110452144851099</c:v>
                </c:pt>
                <c:pt idx="79">
                  <c:v>2.4838100206621498</c:v>
                </c:pt>
                <c:pt idx="80">
                  <c:v>2.3742807873205898</c:v>
                </c:pt>
                <c:pt idx="81">
                  <c:v>2.1797200417793201</c:v>
                </c:pt>
                <c:pt idx="82">
                  <c:v>2.3476550934126599</c:v>
                </c:pt>
                <c:pt idx="83">
                  <c:v>2.2432712393631502</c:v>
                </c:pt>
                <c:pt idx="84">
                  <c:v>2.5896273449233802</c:v>
                </c:pt>
                <c:pt idx="85">
                  <c:v>2.5989954575116201</c:v>
                </c:pt>
                <c:pt idx="86">
                  <c:v>2.6245552476482401</c:v>
                </c:pt>
                <c:pt idx="87">
                  <c:v>2.5347793817832098</c:v>
                </c:pt>
                <c:pt idx="88">
                  <c:v>2.4092283792289901</c:v>
                </c:pt>
                <c:pt idx="89">
                  <c:v>2.5404704417778001</c:v>
                </c:pt>
                <c:pt idx="90">
                  <c:v>2.37084947020533</c:v>
                </c:pt>
                <c:pt idx="91">
                  <c:v>2.4181312667542301</c:v>
                </c:pt>
                <c:pt idx="92">
                  <c:v>2.30910176969638</c:v>
                </c:pt>
                <c:pt idx="93">
                  <c:v>2.44717425268438</c:v>
                </c:pt>
                <c:pt idx="94">
                  <c:v>2.4065783153543201</c:v>
                </c:pt>
                <c:pt idx="95">
                  <c:v>2.33590005888427</c:v>
                </c:pt>
                <c:pt idx="96">
                  <c:v>2.3031186733618498</c:v>
                </c:pt>
                <c:pt idx="97">
                  <c:v>2.2928794258629499</c:v>
                </c:pt>
                <c:pt idx="98">
                  <c:v>2.4385817420894802</c:v>
                </c:pt>
                <c:pt idx="99">
                  <c:v>2.4870120469668699</c:v>
                </c:pt>
                <c:pt idx="100">
                  <c:v>2.5073601431375701</c:v>
                </c:pt>
                <c:pt idx="101">
                  <c:v>2.3204521903403901</c:v>
                </c:pt>
                <c:pt idx="102">
                  <c:v>2.4242855473403702</c:v>
                </c:pt>
                <c:pt idx="103">
                  <c:v>2.3094252826072399</c:v>
                </c:pt>
                <c:pt idx="104">
                  <c:v>2.55294767879177</c:v>
                </c:pt>
                <c:pt idx="105">
                  <c:v>2.3600132823978099</c:v>
                </c:pt>
                <c:pt idx="106">
                  <c:v>1.72899383565874</c:v>
                </c:pt>
                <c:pt idx="107">
                  <c:v>2.6648460423019902</c:v>
                </c:pt>
                <c:pt idx="108">
                  <c:v>2.5014687814443701</c:v>
                </c:pt>
                <c:pt idx="109">
                  <c:v>2.4410123599096201</c:v>
                </c:pt>
                <c:pt idx="110">
                  <c:v>2.5093620793118601</c:v>
                </c:pt>
                <c:pt idx="111">
                  <c:v>2.2009202103672401</c:v>
                </c:pt>
                <c:pt idx="112">
                  <c:v>2.3063899480321202</c:v>
                </c:pt>
                <c:pt idx="113">
                  <c:v>2.28299476667571</c:v>
                </c:pt>
                <c:pt idx="114">
                  <c:v>2.3380539385629699</c:v>
                </c:pt>
                <c:pt idx="115">
                  <c:v>2.3757972370120801</c:v>
                </c:pt>
                <c:pt idx="116">
                  <c:v>2.43861109636117</c:v>
                </c:pt>
                <c:pt idx="117">
                  <c:v>2.3769950822562902</c:v>
                </c:pt>
                <c:pt idx="118">
                  <c:v>2.3344557664267498</c:v>
                </c:pt>
                <c:pt idx="119">
                  <c:v>2.2708844428649799</c:v>
                </c:pt>
                <c:pt idx="120">
                  <c:v>2.3289030295820998</c:v>
                </c:pt>
                <c:pt idx="121">
                  <c:v>2.2764505655952298</c:v>
                </c:pt>
                <c:pt idx="122">
                  <c:v>2.3775213768022398</c:v>
                </c:pt>
                <c:pt idx="123">
                  <c:v>2.2485173249505102</c:v>
                </c:pt>
                <c:pt idx="124">
                  <c:v>2.2472858096547399</c:v>
                </c:pt>
                <c:pt idx="125">
                  <c:v>2.2848202358546099</c:v>
                </c:pt>
                <c:pt idx="126">
                  <c:v>2.2904547258227201</c:v>
                </c:pt>
                <c:pt idx="127">
                  <c:v>2.1874609047818701</c:v>
                </c:pt>
                <c:pt idx="128">
                  <c:v>2.2403423739618602</c:v>
                </c:pt>
                <c:pt idx="129">
                  <c:v>2.3621469936424702</c:v>
                </c:pt>
                <c:pt idx="130">
                  <c:v>2.12042488089853</c:v>
                </c:pt>
                <c:pt idx="131">
                  <c:v>2.12920827712039</c:v>
                </c:pt>
                <c:pt idx="132">
                  <c:v>2.1756916053745998</c:v>
                </c:pt>
                <c:pt idx="133">
                  <c:v>2.2436842269178698</c:v>
                </c:pt>
                <c:pt idx="134">
                  <c:v>2.2702607623178799</c:v>
                </c:pt>
                <c:pt idx="135">
                  <c:v>2.2138762675994399</c:v>
                </c:pt>
                <c:pt idx="136">
                  <c:v>2.30120267091751</c:v>
                </c:pt>
                <c:pt idx="137">
                  <c:v>2.4438601697119502</c:v>
                </c:pt>
                <c:pt idx="138">
                  <c:v>2.32895826607235</c:v>
                </c:pt>
                <c:pt idx="139">
                  <c:v>2.3112293148760701</c:v>
                </c:pt>
                <c:pt idx="140">
                  <c:v>2.3714738122217001</c:v>
                </c:pt>
                <c:pt idx="141">
                  <c:v>2.2455317265243502</c:v>
                </c:pt>
                <c:pt idx="142">
                  <c:v>2.2065681229738399</c:v>
                </c:pt>
                <c:pt idx="143">
                  <c:v>2.18728066586575</c:v>
                </c:pt>
                <c:pt idx="144">
                  <c:v>2.40853759375972</c:v>
                </c:pt>
                <c:pt idx="145">
                  <c:v>2.2148341141199399</c:v>
                </c:pt>
                <c:pt idx="146">
                  <c:v>2.23782571065178</c:v>
                </c:pt>
                <c:pt idx="147">
                  <c:v>2.25914653526659</c:v>
                </c:pt>
                <c:pt idx="148">
                  <c:v>2.3528424900334599</c:v>
                </c:pt>
                <c:pt idx="149">
                  <c:v>2.29391924946137</c:v>
                </c:pt>
                <c:pt idx="150">
                  <c:v>2.4343267490141902</c:v>
                </c:pt>
                <c:pt idx="151">
                  <c:v>2.3400777016441401</c:v>
                </c:pt>
                <c:pt idx="152">
                  <c:v>2.3637389846386601</c:v>
                </c:pt>
                <c:pt idx="153">
                  <c:v>2.22729164719687</c:v>
                </c:pt>
                <c:pt idx="154">
                  <c:v>2.27686437308689</c:v>
                </c:pt>
                <c:pt idx="155">
                  <c:v>2.3395449322658002</c:v>
                </c:pt>
                <c:pt idx="156">
                  <c:v>2.1829021371128499</c:v>
                </c:pt>
                <c:pt idx="157">
                  <c:v>2.3305219666510202</c:v>
                </c:pt>
                <c:pt idx="158">
                  <c:v>2.2749095239203898</c:v>
                </c:pt>
                <c:pt idx="159">
                  <c:v>2.17819750017647</c:v>
                </c:pt>
                <c:pt idx="160">
                  <c:v>2.2678108166039799</c:v>
                </c:pt>
                <c:pt idx="161">
                  <c:v>2.2918124532341002</c:v>
                </c:pt>
                <c:pt idx="162">
                  <c:v>2.22572441435466</c:v>
                </c:pt>
                <c:pt idx="163">
                  <c:v>2.2492255209722698</c:v>
                </c:pt>
                <c:pt idx="164">
                  <c:v>2.2104668332733199</c:v>
                </c:pt>
                <c:pt idx="165">
                  <c:v>2.29259269860166</c:v>
                </c:pt>
                <c:pt idx="166">
                  <c:v>2.2688611902023301</c:v>
                </c:pt>
                <c:pt idx="167">
                  <c:v>2.3261309096859999</c:v>
                </c:pt>
                <c:pt idx="168">
                  <c:v>2.3656274215893198</c:v>
                </c:pt>
                <c:pt idx="169">
                  <c:v>2.39989110168578</c:v>
                </c:pt>
                <c:pt idx="170">
                  <c:v>2.3760389427283699</c:v>
                </c:pt>
                <c:pt idx="171">
                  <c:v>2.4601313921123098</c:v>
                </c:pt>
                <c:pt idx="172">
                  <c:v>2.4667631206082699</c:v>
                </c:pt>
                <c:pt idx="173">
                  <c:v>2.4538230809741699</c:v>
                </c:pt>
                <c:pt idx="174">
                  <c:v>2.4651563768907798</c:v>
                </c:pt>
                <c:pt idx="175">
                  <c:v>2.47678352766646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9F-424D-98AA-AF4FE3442CFF}"/>
            </c:ext>
          </c:extLst>
        </c:ser>
        <c:ser>
          <c:idx val="1"/>
          <c:order val="1"/>
          <c:tx>
            <c:strRef>
              <c:f>'[1]Graphing (testing)'!$K$2</c:f>
              <c:strCache>
                <c:ptCount val="1"/>
                <c:pt idx="0">
                  <c:v>Skewness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'[1]Graphing (testing)'!$D$3:$D$178</c:f>
              <c:strCache>
                <c:ptCount val="176"/>
                <c:pt idx="0">
                  <c:v>21</c:v>
                </c:pt>
                <c:pt idx="1">
                  <c:v>30</c:v>
                </c:pt>
                <c:pt idx="2">
                  <c:v>43</c:v>
                </c:pt>
                <c:pt idx="3">
                  <c:v>49</c:v>
                </c:pt>
                <c:pt idx="4">
                  <c:v>58.5</c:v>
                </c:pt>
                <c:pt idx="5">
                  <c:v>69.5</c:v>
                </c:pt>
                <c:pt idx="6">
                  <c:v>79</c:v>
                </c:pt>
                <c:pt idx="7">
                  <c:v>90.5</c:v>
                </c:pt>
                <c:pt idx="8">
                  <c:v>100</c:v>
                </c:pt>
                <c:pt idx="9">
                  <c:v>108.5</c:v>
                </c:pt>
                <c:pt idx="10">
                  <c:v>119</c:v>
                </c:pt>
                <c:pt idx="11">
                  <c:v>128.5</c:v>
                </c:pt>
                <c:pt idx="12">
                  <c:v>140</c:v>
                </c:pt>
                <c:pt idx="13">
                  <c:v>148.5</c:v>
                </c:pt>
                <c:pt idx="14">
                  <c:v>161</c:v>
                </c:pt>
                <c:pt idx="15">
                  <c:v>169.5</c:v>
                </c:pt>
                <c:pt idx="16">
                  <c:v>179</c:v>
                </c:pt>
                <c:pt idx="17">
                  <c:v>189</c:v>
                </c:pt>
                <c:pt idx="18">
                  <c:v>199.5</c:v>
                </c:pt>
                <c:pt idx="19">
                  <c:v>209</c:v>
                </c:pt>
                <c:pt idx="20">
                  <c:v>218.5</c:v>
                </c:pt>
                <c:pt idx="21">
                  <c:v>228.5</c:v>
                </c:pt>
                <c:pt idx="22">
                  <c:v>235</c:v>
                </c:pt>
                <c:pt idx="23">
                  <c:v>244</c:v>
                </c:pt>
                <c:pt idx="24">
                  <c:v>252.5</c:v>
                </c:pt>
                <c:pt idx="25">
                  <c:v>261</c:v>
                </c:pt>
                <c:pt idx="26">
                  <c:v>263</c:v>
                </c:pt>
                <c:pt idx="27">
                  <c:v>271.5</c:v>
                </c:pt>
                <c:pt idx="28">
                  <c:v>277.5</c:v>
                </c:pt>
                <c:pt idx="29">
                  <c:v>285</c:v>
                </c:pt>
                <c:pt idx="30">
                  <c:v>292.5</c:v>
                </c:pt>
                <c:pt idx="31">
                  <c:v>297.5</c:v>
                </c:pt>
                <c:pt idx="32">
                  <c:v>301</c:v>
                </c:pt>
                <c:pt idx="33">
                  <c:v>303</c:v>
                </c:pt>
                <c:pt idx="34">
                  <c:v>305</c:v>
                </c:pt>
                <c:pt idx="35">
                  <c:v>308</c:v>
                </c:pt>
                <c:pt idx="36">
                  <c:v>312.5</c:v>
                </c:pt>
                <c:pt idx="37">
                  <c:v>317.5</c:v>
                </c:pt>
                <c:pt idx="38">
                  <c:v>322.5</c:v>
                </c:pt>
                <c:pt idx="39">
                  <c:v>327.5</c:v>
                </c:pt>
                <c:pt idx="40">
                  <c:v>332.5</c:v>
                </c:pt>
                <c:pt idx="41">
                  <c:v>339</c:v>
                </c:pt>
                <c:pt idx="42">
                  <c:v>346.5</c:v>
                </c:pt>
                <c:pt idx="43">
                  <c:v>352.5</c:v>
                </c:pt>
                <c:pt idx="44">
                  <c:v>362.5</c:v>
                </c:pt>
                <c:pt idx="45">
                  <c:v>366.5</c:v>
                </c:pt>
                <c:pt idx="46">
                  <c:v>369.5</c:v>
                </c:pt>
                <c:pt idx="47">
                  <c:v>375.5</c:v>
                </c:pt>
                <c:pt idx="48">
                  <c:v>381.5</c:v>
                </c:pt>
                <c:pt idx="49">
                  <c:v>384.5</c:v>
                </c:pt>
                <c:pt idx="50">
                  <c:v>388</c:v>
                </c:pt>
                <c:pt idx="51">
                  <c:v>391.5</c:v>
                </c:pt>
                <c:pt idx="52">
                  <c:v>397.5</c:v>
                </c:pt>
                <c:pt idx="53">
                  <c:v>404</c:v>
                </c:pt>
                <c:pt idx="54">
                  <c:v>414</c:v>
                </c:pt>
                <c:pt idx="55">
                  <c:v>418</c:v>
                </c:pt>
                <c:pt idx="56">
                  <c:v>421.5</c:v>
                </c:pt>
                <c:pt idx="57">
                  <c:v>424.5</c:v>
                </c:pt>
                <c:pt idx="58">
                  <c:v>428</c:v>
                </c:pt>
                <c:pt idx="59">
                  <c:v>432.5</c:v>
                </c:pt>
                <c:pt idx="60">
                  <c:v>437.5</c:v>
                </c:pt>
                <c:pt idx="61">
                  <c:v>442.5</c:v>
                </c:pt>
                <c:pt idx="62">
                  <c:v>447.5</c:v>
                </c:pt>
                <c:pt idx="63">
                  <c:v>452.5</c:v>
                </c:pt>
                <c:pt idx="64">
                  <c:v>457.5</c:v>
                </c:pt>
                <c:pt idx="65">
                  <c:v>461</c:v>
                </c:pt>
                <c:pt idx="66">
                  <c:v>463.5</c:v>
                </c:pt>
                <c:pt idx="67">
                  <c:v>467.5</c:v>
                </c:pt>
                <c:pt idx="68">
                  <c:v>472.5</c:v>
                </c:pt>
                <c:pt idx="69">
                  <c:v>476</c:v>
                </c:pt>
                <c:pt idx="70">
                  <c:v>478.5</c:v>
                </c:pt>
                <c:pt idx="71">
                  <c:v>481.5</c:v>
                </c:pt>
                <c:pt idx="72">
                  <c:v>484</c:v>
                </c:pt>
                <c:pt idx="73">
                  <c:v>487</c:v>
                </c:pt>
                <c:pt idx="74">
                  <c:v>490</c:v>
                </c:pt>
                <c:pt idx="75">
                  <c:v>492</c:v>
                </c:pt>
                <c:pt idx="76">
                  <c:v>494</c:v>
                </c:pt>
                <c:pt idx="77">
                  <c:v>497.5</c:v>
                </c:pt>
                <c:pt idx="78">
                  <c:v>502.5</c:v>
                </c:pt>
                <c:pt idx="79">
                  <c:v>508</c:v>
                </c:pt>
                <c:pt idx="80">
                  <c:v>512.5</c:v>
                </c:pt>
                <c:pt idx="81">
                  <c:v>517.5</c:v>
                </c:pt>
                <c:pt idx="82">
                  <c:v>521.5</c:v>
                </c:pt>
                <c:pt idx="83">
                  <c:v>524.5</c:v>
                </c:pt>
                <c:pt idx="84">
                  <c:v>528</c:v>
                </c:pt>
                <c:pt idx="85">
                  <c:v>531</c:v>
                </c:pt>
                <c:pt idx="86">
                  <c:v>535</c:v>
                </c:pt>
                <c:pt idx="87">
                  <c:v>539</c:v>
                </c:pt>
                <c:pt idx="88">
                  <c:v>541</c:v>
                </c:pt>
                <c:pt idx="89">
                  <c:v>543</c:v>
                </c:pt>
                <c:pt idx="90">
                  <c:v>545</c:v>
                </c:pt>
                <c:pt idx="91">
                  <c:v>547</c:v>
                </c:pt>
                <c:pt idx="92">
                  <c:v>549</c:v>
                </c:pt>
                <c:pt idx="93">
                  <c:v>552.5</c:v>
                </c:pt>
                <c:pt idx="94">
                  <c:v>557.5</c:v>
                </c:pt>
                <c:pt idx="95">
                  <c:v>561</c:v>
                </c:pt>
                <c:pt idx="96">
                  <c:v>563</c:v>
                </c:pt>
                <c:pt idx="97">
                  <c:v>565</c:v>
                </c:pt>
                <c:pt idx="98">
                  <c:v>567</c:v>
                </c:pt>
                <c:pt idx="99">
                  <c:v>569</c:v>
                </c:pt>
                <c:pt idx="100">
                  <c:v>572.5</c:v>
                </c:pt>
                <c:pt idx="101">
                  <c:v>577.5</c:v>
                </c:pt>
                <c:pt idx="102">
                  <c:v>582.5</c:v>
                </c:pt>
                <c:pt idx="103">
                  <c:v>587.5</c:v>
                </c:pt>
                <c:pt idx="104">
                  <c:v>605</c:v>
                </c:pt>
                <c:pt idx="105">
                  <c:v>615</c:v>
                </c:pt>
                <c:pt idx="106">
                  <c:v>625</c:v>
                </c:pt>
                <c:pt idx="107">
                  <c:v>635</c:v>
                </c:pt>
                <c:pt idx="108">
                  <c:v>645</c:v>
                </c:pt>
                <c:pt idx="109">
                  <c:v>655</c:v>
                </c:pt>
                <c:pt idx="110">
                  <c:v>665</c:v>
                </c:pt>
                <c:pt idx="111">
                  <c:v>675</c:v>
                </c:pt>
                <c:pt idx="112">
                  <c:v>685</c:v>
                </c:pt>
                <c:pt idx="113">
                  <c:v>695</c:v>
                </c:pt>
                <c:pt idx="114">
                  <c:v>705</c:v>
                </c:pt>
                <c:pt idx="115">
                  <c:v>715</c:v>
                </c:pt>
                <c:pt idx="116">
                  <c:v>725</c:v>
                </c:pt>
                <c:pt idx="117">
                  <c:v>735</c:v>
                </c:pt>
                <c:pt idx="118">
                  <c:v>745</c:v>
                </c:pt>
                <c:pt idx="119">
                  <c:v>755</c:v>
                </c:pt>
                <c:pt idx="120">
                  <c:v>765</c:v>
                </c:pt>
                <c:pt idx="121">
                  <c:v>775</c:v>
                </c:pt>
                <c:pt idx="122">
                  <c:v>785</c:v>
                </c:pt>
                <c:pt idx="123">
                  <c:v>795</c:v>
                </c:pt>
                <c:pt idx="124">
                  <c:v>805</c:v>
                </c:pt>
                <c:pt idx="125">
                  <c:v>815</c:v>
                </c:pt>
                <c:pt idx="126">
                  <c:v>825</c:v>
                </c:pt>
                <c:pt idx="127">
                  <c:v>835</c:v>
                </c:pt>
                <c:pt idx="128">
                  <c:v>850</c:v>
                </c:pt>
                <c:pt idx="129">
                  <c:v>851.5</c:v>
                </c:pt>
                <c:pt idx="130">
                  <c:v>856.5</c:v>
                </c:pt>
                <c:pt idx="131">
                  <c:v>862</c:v>
                </c:pt>
                <c:pt idx="132">
                  <c:v>866</c:v>
                </c:pt>
                <c:pt idx="133">
                  <c:v>869.5</c:v>
                </c:pt>
                <c:pt idx="134">
                  <c:v>872.5</c:v>
                </c:pt>
                <c:pt idx="135">
                  <c:v>878</c:v>
                </c:pt>
                <c:pt idx="136">
                  <c:v>884</c:v>
                </c:pt>
                <c:pt idx="137">
                  <c:v>888</c:v>
                </c:pt>
                <c:pt idx="138">
                  <c:v>895</c:v>
                </c:pt>
                <c:pt idx="139">
                  <c:v>905</c:v>
                </c:pt>
                <c:pt idx="140">
                  <c:v>915</c:v>
                </c:pt>
                <c:pt idx="141">
                  <c:v>925</c:v>
                </c:pt>
                <c:pt idx="142">
                  <c:v>933.5</c:v>
                </c:pt>
                <c:pt idx="143">
                  <c:v>938.5</c:v>
                </c:pt>
                <c:pt idx="144">
                  <c:v>945</c:v>
                </c:pt>
                <c:pt idx="145">
                  <c:v>952</c:v>
                </c:pt>
                <c:pt idx="146">
                  <c:v>957</c:v>
                </c:pt>
                <c:pt idx="147">
                  <c:v>962.5</c:v>
                </c:pt>
                <c:pt idx="148">
                  <c:v>966</c:v>
                </c:pt>
                <c:pt idx="149">
                  <c:v>970</c:v>
                </c:pt>
                <c:pt idx="150">
                  <c:v>975.5</c:v>
                </c:pt>
                <c:pt idx="151">
                  <c:v>984</c:v>
                </c:pt>
                <c:pt idx="152">
                  <c:v>995</c:v>
                </c:pt>
                <c:pt idx="153">
                  <c:v>1008</c:v>
                </c:pt>
                <c:pt idx="154">
                  <c:v>1018</c:v>
                </c:pt>
                <c:pt idx="155">
                  <c:v>1025</c:v>
                </c:pt>
                <c:pt idx="156">
                  <c:v>1035</c:v>
                </c:pt>
                <c:pt idx="157">
                  <c:v>1045.5</c:v>
                </c:pt>
                <c:pt idx="158">
                  <c:v>1055.5</c:v>
                </c:pt>
                <c:pt idx="159">
                  <c:v>1065.5</c:v>
                </c:pt>
                <c:pt idx="160">
                  <c:v>1075.5</c:v>
                </c:pt>
                <c:pt idx="161">
                  <c:v>1085.5</c:v>
                </c:pt>
                <c:pt idx="162">
                  <c:v>1095.5</c:v>
                </c:pt>
                <c:pt idx="163">
                  <c:v>1105.5</c:v>
                </c:pt>
                <c:pt idx="164">
                  <c:v>1115.5</c:v>
                </c:pt>
                <c:pt idx="165">
                  <c:v>1125.5</c:v>
                </c:pt>
                <c:pt idx="166">
                  <c:v>1135.5</c:v>
                </c:pt>
                <c:pt idx="167">
                  <c:v>1145.5</c:v>
                </c:pt>
                <c:pt idx="168">
                  <c:v>1155.5</c:v>
                </c:pt>
                <c:pt idx="169">
                  <c:v>1165.5</c:v>
                </c:pt>
                <c:pt idx="170">
                  <c:v>1175.5</c:v>
                </c:pt>
                <c:pt idx="171">
                  <c:v>1185.5</c:v>
                </c:pt>
                <c:pt idx="172">
                  <c:v>1195.5</c:v>
                </c:pt>
                <c:pt idx="173">
                  <c:v>1205.5</c:v>
                </c:pt>
                <c:pt idx="174">
                  <c:v>1214</c:v>
                </c:pt>
                <c:pt idx="175">
                  <c:v>1219.5</c:v>
                </c:pt>
              </c:strCache>
            </c:strRef>
          </c:xVal>
          <c:yVal>
            <c:numRef>
              <c:f>'[1]Graphing (testing)'!$K$3:$K$178</c:f>
              <c:numCache>
                <c:formatCode>General</c:formatCode>
                <c:ptCount val="176"/>
                <c:pt idx="0">
                  <c:v>-8.6735008121244406E-2</c:v>
                </c:pt>
                <c:pt idx="1">
                  <c:v>-9.8219004818876701E-2</c:v>
                </c:pt>
                <c:pt idx="2">
                  <c:v>-9.1726697655726303E-2</c:v>
                </c:pt>
                <c:pt idx="3">
                  <c:v>-9.0137783984584802E-2</c:v>
                </c:pt>
                <c:pt idx="4">
                  <c:v>-8.4709258409008004E-2</c:v>
                </c:pt>
                <c:pt idx="5">
                  <c:v>-6.8494468451504101E-2</c:v>
                </c:pt>
                <c:pt idx="6">
                  <c:v>-8.99431275448863E-2</c:v>
                </c:pt>
                <c:pt idx="7">
                  <c:v>-5.9503354790283298E-2</c:v>
                </c:pt>
                <c:pt idx="8">
                  <c:v>-6.4478678838163397E-2</c:v>
                </c:pt>
                <c:pt idx="9">
                  <c:v>-7.6714820153169397E-2</c:v>
                </c:pt>
                <c:pt idx="10">
                  <c:v>-7.1582412367640499E-2</c:v>
                </c:pt>
                <c:pt idx="11">
                  <c:v>-9.3163412144735294E-2</c:v>
                </c:pt>
                <c:pt idx="12">
                  <c:v>-7.9020533694505998E-2</c:v>
                </c:pt>
                <c:pt idx="13">
                  <c:v>-3.2600317288121801E-2</c:v>
                </c:pt>
                <c:pt idx="14">
                  <c:v>-5.4818498751992198E-2</c:v>
                </c:pt>
                <c:pt idx="15">
                  <c:v>-5.17706964738383E-2</c:v>
                </c:pt>
                <c:pt idx="16">
                  <c:v>-6.3481201291984202E-2</c:v>
                </c:pt>
                <c:pt idx="17">
                  <c:v>-7.5268185649881206E-2</c:v>
                </c:pt>
                <c:pt idx="18">
                  <c:v>-7.8645853944577293E-2</c:v>
                </c:pt>
                <c:pt idx="19">
                  <c:v>-8.9968749758798497E-2</c:v>
                </c:pt>
                <c:pt idx="20">
                  <c:v>-0.111345203340318</c:v>
                </c:pt>
                <c:pt idx="21">
                  <c:v>-0.10019359653804601</c:v>
                </c:pt>
                <c:pt idx="22">
                  <c:v>-0.11519650862546001</c:v>
                </c:pt>
                <c:pt idx="23">
                  <c:v>-7.0245733705694799E-2</c:v>
                </c:pt>
                <c:pt idx="24">
                  <c:v>-7.95946976113594E-2</c:v>
                </c:pt>
                <c:pt idx="25">
                  <c:v>-7.8695938404479304E-2</c:v>
                </c:pt>
                <c:pt idx="26">
                  <c:v>-7.5749728090656901E-2</c:v>
                </c:pt>
                <c:pt idx="27">
                  <c:v>-6.1710682209617902E-2</c:v>
                </c:pt>
                <c:pt idx="28">
                  <c:v>-7.9695229104658094E-2</c:v>
                </c:pt>
                <c:pt idx="29">
                  <c:v>-6.6107824894008196E-2</c:v>
                </c:pt>
                <c:pt idx="30">
                  <c:v>-4.8258610043922998E-2</c:v>
                </c:pt>
                <c:pt idx="31">
                  <c:v>-3.7918701471741097E-2</c:v>
                </c:pt>
                <c:pt idx="32">
                  <c:v>-4.2948575767359901E-2</c:v>
                </c:pt>
                <c:pt idx="33">
                  <c:v>-3.58238858077062E-2</c:v>
                </c:pt>
                <c:pt idx="34">
                  <c:v>-4.5679248523573801E-2</c:v>
                </c:pt>
                <c:pt idx="35">
                  <c:v>-3.7999454214445498E-2</c:v>
                </c:pt>
                <c:pt idx="36">
                  <c:v>-4.2443737782741499E-2</c:v>
                </c:pt>
                <c:pt idx="37">
                  <c:v>-9.3047047407035996E-2</c:v>
                </c:pt>
                <c:pt idx="38">
                  <c:v>-1.36445147806349E-2</c:v>
                </c:pt>
                <c:pt idx="39">
                  <c:v>-6.8318475142972998E-2</c:v>
                </c:pt>
                <c:pt idx="40">
                  <c:v>-6.4198705874989603E-2</c:v>
                </c:pt>
                <c:pt idx="41">
                  <c:v>-1.9338864644017101E-2</c:v>
                </c:pt>
                <c:pt idx="42">
                  <c:v>-5.4802121538377199E-2</c:v>
                </c:pt>
                <c:pt idx="43">
                  <c:v>-6.3853679454542595E-2</c:v>
                </c:pt>
                <c:pt idx="44">
                  <c:v>-4.3342130870615801E-2</c:v>
                </c:pt>
                <c:pt idx="45">
                  <c:v>-5.2252051022221399E-2</c:v>
                </c:pt>
                <c:pt idx="46">
                  <c:v>-6.8034457477024204E-2</c:v>
                </c:pt>
                <c:pt idx="47">
                  <c:v>-5.6967376618064003E-2</c:v>
                </c:pt>
                <c:pt idx="48">
                  <c:v>-5.6753750269026799E-2</c:v>
                </c:pt>
                <c:pt idx="49">
                  <c:v>-5.3139451564592897E-2</c:v>
                </c:pt>
                <c:pt idx="50">
                  <c:v>-7.3112605927879201E-2</c:v>
                </c:pt>
                <c:pt idx="51">
                  <c:v>-7.6936787662569894E-2</c:v>
                </c:pt>
                <c:pt idx="52">
                  <c:v>-6.5131034166713495E-2</c:v>
                </c:pt>
                <c:pt idx="53">
                  <c:v>-6.3703607362605705E-2</c:v>
                </c:pt>
                <c:pt idx="54">
                  <c:v>-6.7597440626103095E-2</c:v>
                </c:pt>
                <c:pt idx="55">
                  <c:v>-8.2364253665511797E-2</c:v>
                </c:pt>
                <c:pt idx="56">
                  <c:v>-8.2880677562552602E-2</c:v>
                </c:pt>
                <c:pt idx="57">
                  <c:v>-6.5459970020442099E-2</c:v>
                </c:pt>
                <c:pt idx="58">
                  <c:v>-7.5538435505543094E-2</c:v>
                </c:pt>
                <c:pt idx="59">
                  <c:v>-7.0858729650314395E-2</c:v>
                </c:pt>
                <c:pt idx="60">
                  <c:v>-8.3179676353616602E-2</c:v>
                </c:pt>
                <c:pt idx="61">
                  <c:v>-8.2429004567425093E-2</c:v>
                </c:pt>
                <c:pt idx="62">
                  <c:v>-8.6202229958297696E-2</c:v>
                </c:pt>
                <c:pt idx="63">
                  <c:v>-7.4674843466426694E-2</c:v>
                </c:pt>
                <c:pt idx="64">
                  <c:v>-7.9682976580907006E-2</c:v>
                </c:pt>
                <c:pt idx="65">
                  <c:v>-5.3139842979787702E-2</c:v>
                </c:pt>
                <c:pt idx="66">
                  <c:v>-6.4664214613635404E-2</c:v>
                </c:pt>
                <c:pt idx="67">
                  <c:v>-5.3925351679045101E-2</c:v>
                </c:pt>
                <c:pt idx="68">
                  <c:v>-8.6039229202098194E-2</c:v>
                </c:pt>
                <c:pt idx="69">
                  <c:v>-0.11637783864854501</c:v>
                </c:pt>
                <c:pt idx="70">
                  <c:v>-7.61545526278853E-2</c:v>
                </c:pt>
                <c:pt idx="72">
                  <c:v>-8.3165168522412694E-2</c:v>
                </c:pt>
                <c:pt idx="73">
                  <c:v>-7.9945580248441797E-2</c:v>
                </c:pt>
                <c:pt idx="74">
                  <c:v>-7.4421296457607394E-2</c:v>
                </c:pt>
                <c:pt idx="75">
                  <c:v>-8.43014980799386E-2</c:v>
                </c:pt>
                <c:pt idx="76">
                  <c:v>-6.85131949861916E-2</c:v>
                </c:pt>
                <c:pt idx="77">
                  <c:v>-7.6716075314051696E-2</c:v>
                </c:pt>
                <c:pt idx="78">
                  <c:v>-8.3406828081086903E-2</c:v>
                </c:pt>
                <c:pt idx="79">
                  <c:v>-9.7686114968775203E-2</c:v>
                </c:pt>
                <c:pt idx="80">
                  <c:v>-6.5301652039913199E-2</c:v>
                </c:pt>
                <c:pt idx="81">
                  <c:v>-6.45984235375405E-2</c:v>
                </c:pt>
                <c:pt idx="82">
                  <c:v>-0.100167370576148</c:v>
                </c:pt>
                <c:pt idx="83">
                  <c:v>-8.5947968979909306E-2</c:v>
                </c:pt>
                <c:pt idx="84">
                  <c:v>-7.2800819971340303E-2</c:v>
                </c:pt>
                <c:pt idx="85">
                  <c:v>-2.8180078584220499E-2</c:v>
                </c:pt>
                <c:pt idx="86">
                  <c:v>-3.99844321867205E-2</c:v>
                </c:pt>
                <c:pt idx="87">
                  <c:v>-7.2126065461301403E-2</c:v>
                </c:pt>
                <c:pt idx="88">
                  <c:v>-7.7743741651681006E-2</c:v>
                </c:pt>
                <c:pt idx="89">
                  <c:v>-7.5462630396193497E-2</c:v>
                </c:pt>
                <c:pt idx="90">
                  <c:v>-0.10049085824607699</c:v>
                </c:pt>
                <c:pt idx="91">
                  <c:v>-9.5426296537290706E-2</c:v>
                </c:pt>
                <c:pt idx="92">
                  <c:v>-9.9275099378358503E-2</c:v>
                </c:pt>
                <c:pt idx="93">
                  <c:v>-9.8218768787062899E-2</c:v>
                </c:pt>
                <c:pt idx="94">
                  <c:v>-0.103089360783589</c:v>
                </c:pt>
                <c:pt idx="95">
                  <c:v>-0.111397784509446</c:v>
                </c:pt>
                <c:pt idx="96">
                  <c:v>-9.2824546803505506E-2</c:v>
                </c:pt>
                <c:pt idx="97">
                  <c:v>-9.6009371054779705E-2</c:v>
                </c:pt>
                <c:pt idx="98">
                  <c:v>-8.1267138900740304E-2</c:v>
                </c:pt>
                <c:pt idx="99">
                  <c:v>-7.4722055593246295E-2</c:v>
                </c:pt>
                <c:pt idx="100">
                  <c:v>-7.05000388468425E-2</c:v>
                </c:pt>
                <c:pt idx="101">
                  <c:v>-7.9177771504777006E-2</c:v>
                </c:pt>
                <c:pt idx="102">
                  <c:v>-6.0564094748027701E-2</c:v>
                </c:pt>
                <c:pt idx="103">
                  <c:v>-7.9731376423828201E-2</c:v>
                </c:pt>
                <c:pt idx="104">
                  <c:v>-7.9234888448416294E-2</c:v>
                </c:pt>
                <c:pt idx="105">
                  <c:v>-8.5508496230641898E-2</c:v>
                </c:pt>
                <c:pt idx="106">
                  <c:v>-0.223679817223881</c:v>
                </c:pt>
                <c:pt idx="107">
                  <c:v>-5.00726658291629E-2</c:v>
                </c:pt>
                <c:pt idx="108">
                  <c:v>-6.5979772891253494E-2</c:v>
                </c:pt>
                <c:pt idx="109">
                  <c:v>-5.9446689776623499E-2</c:v>
                </c:pt>
                <c:pt idx="110">
                  <c:v>-2.7468377612919599E-2</c:v>
                </c:pt>
                <c:pt idx="111">
                  <c:v>-9.0315338549040294E-2</c:v>
                </c:pt>
                <c:pt idx="112">
                  <c:v>-0.122565207972297</c:v>
                </c:pt>
                <c:pt idx="113">
                  <c:v>-8.7042518057297194E-2</c:v>
                </c:pt>
                <c:pt idx="114">
                  <c:v>-0.14059612710243699</c:v>
                </c:pt>
                <c:pt idx="115">
                  <c:v>-0.156394996832251</c:v>
                </c:pt>
                <c:pt idx="116">
                  <c:v>-0.12956893531272901</c:v>
                </c:pt>
                <c:pt idx="117">
                  <c:v>-0.18022246941797901</c:v>
                </c:pt>
                <c:pt idx="118">
                  <c:v>-0.15061561502681101</c:v>
                </c:pt>
                <c:pt idx="119">
                  <c:v>-0.14363123443190301</c:v>
                </c:pt>
                <c:pt idx="120">
                  <c:v>-0.159818711335622</c:v>
                </c:pt>
                <c:pt idx="121">
                  <c:v>-0.129347352675207</c:v>
                </c:pt>
                <c:pt idx="122">
                  <c:v>-0.16187165775917201</c:v>
                </c:pt>
                <c:pt idx="123">
                  <c:v>-0.151806648278004</c:v>
                </c:pt>
                <c:pt idx="124">
                  <c:v>-0.14513883514885201</c:v>
                </c:pt>
                <c:pt idx="125">
                  <c:v>-8.4320831603835494E-2</c:v>
                </c:pt>
                <c:pt idx="126">
                  <c:v>-0.132916454280504</c:v>
                </c:pt>
                <c:pt idx="127">
                  <c:v>-0.10833799615831</c:v>
                </c:pt>
                <c:pt idx="128">
                  <c:v>-0.10969879848947101</c:v>
                </c:pt>
                <c:pt idx="129">
                  <c:v>-0.100824742237501</c:v>
                </c:pt>
                <c:pt idx="130">
                  <c:v>-8.2747551855225907E-2</c:v>
                </c:pt>
                <c:pt idx="131">
                  <c:v>-9.4053154209038994E-2</c:v>
                </c:pt>
                <c:pt idx="132">
                  <c:v>-0.100953299306291</c:v>
                </c:pt>
                <c:pt idx="133">
                  <c:v>-0.12328995086306201</c:v>
                </c:pt>
                <c:pt idx="134">
                  <c:v>-9.8505913564281802E-2</c:v>
                </c:pt>
                <c:pt idx="135">
                  <c:v>-9.9378587652605294E-2</c:v>
                </c:pt>
                <c:pt idx="136">
                  <c:v>-0.11804510158034499</c:v>
                </c:pt>
                <c:pt idx="137">
                  <c:v>-0.123254226483306</c:v>
                </c:pt>
                <c:pt idx="138">
                  <c:v>-0.110974872420448</c:v>
                </c:pt>
                <c:pt idx="139">
                  <c:v>-0.121827925856114</c:v>
                </c:pt>
                <c:pt idx="140">
                  <c:v>-0.12484762314459499</c:v>
                </c:pt>
                <c:pt idx="141">
                  <c:v>-0.103977283554784</c:v>
                </c:pt>
                <c:pt idx="142">
                  <c:v>-0.12752372689098199</c:v>
                </c:pt>
                <c:pt idx="143">
                  <c:v>-0.120896326986783</c:v>
                </c:pt>
                <c:pt idx="144">
                  <c:v>-0.13170855221622499</c:v>
                </c:pt>
                <c:pt idx="145">
                  <c:v>-7.4172478478032294E-2</c:v>
                </c:pt>
                <c:pt idx="146">
                  <c:v>-0.109609081277177</c:v>
                </c:pt>
                <c:pt idx="147">
                  <c:v>-0.115928064401216</c:v>
                </c:pt>
                <c:pt idx="148">
                  <c:v>-0.124979784343734</c:v>
                </c:pt>
                <c:pt idx="149">
                  <c:v>-0.11476931931610899</c:v>
                </c:pt>
                <c:pt idx="150">
                  <c:v>-0.12628323734497501</c:v>
                </c:pt>
                <c:pt idx="151">
                  <c:v>-0.12398491486964799</c:v>
                </c:pt>
                <c:pt idx="152">
                  <c:v>-0.12767545990312301</c:v>
                </c:pt>
                <c:pt idx="153">
                  <c:v>-0.11462459426562099</c:v>
                </c:pt>
                <c:pt idx="154">
                  <c:v>-0.14656383524369701</c:v>
                </c:pt>
                <c:pt idx="155">
                  <c:v>-0.100403029627183</c:v>
                </c:pt>
                <c:pt idx="156">
                  <c:v>-8.2248701786727899E-2</c:v>
                </c:pt>
                <c:pt idx="157">
                  <c:v>-0.115755583330132</c:v>
                </c:pt>
                <c:pt idx="158">
                  <c:v>-0.150344143729641</c:v>
                </c:pt>
                <c:pt idx="159">
                  <c:v>-0.12671743169870001</c:v>
                </c:pt>
                <c:pt idx="160">
                  <c:v>-0.12214664288428401</c:v>
                </c:pt>
                <c:pt idx="161">
                  <c:v>-0.11550538665217699</c:v>
                </c:pt>
                <c:pt idx="162">
                  <c:v>-0.10608901736080401</c:v>
                </c:pt>
                <c:pt idx="163">
                  <c:v>-0.116532253127885</c:v>
                </c:pt>
                <c:pt idx="164">
                  <c:v>-0.124531811234638</c:v>
                </c:pt>
                <c:pt idx="165">
                  <c:v>-8.3802201574057295E-2</c:v>
                </c:pt>
                <c:pt idx="166">
                  <c:v>-0.11119955506630801</c:v>
                </c:pt>
                <c:pt idx="167">
                  <c:v>-0.135797630205577</c:v>
                </c:pt>
                <c:pt idx="168">
                  <c:v>-0.13603753584388201</c:v>
                </c:pt>
                <c:pt idx="169">
                  <c:v>-0.15256835170320099</c:v>
                </c:pt>
                <c:pt idx="170">
                  <c:v>-0.13523107847687299</c:v>
                </c:pt>
                <c:pt idx="171">
                  <c:v>-0.16786290951459301</c:v>
                </c:pt>
                <c:pt idx="172">
                  <c:v>-0.177166325300877</c:v>
                </c:pt>
                <c:pt idx="173">
                  <c:v>-0.177337115978216</c:v>
                </c:pt>
                <c:pt idx="174">
                  <c:v>-0.180155558488656</c:v>
                </c:pt>
                <c:pt idx="175">
                  <c:v>-0.18444873219966201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9F-424D-98AA-AF4FE3442CFF}"/>
            </c:ext>
          </c:extLst>
        </c:ser>
        <c:ser>
          <c:idx val="2"/>
          <c:order val="2"/>
          <c:tx>
            <c:strRef>
              <c:f>'[1]Graphing (testing)'!$L$2</c:f>
              <c:strCache>
                <c:ptCount val="1"/>
                <c:pt idx="0">
                  <c:v>Kurtosis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'[1]Graphing (testing)'!$D$3:$D$178</c:f>
              <c:strCache>
                <c:ptCount val="176"/>
                <c:pt idx="0">
                  <c:v>21</c:v>
                </c:pt>
                <c:pt idx="1">
                  <c:v>30</c:v>
                </c:pt>
                <c:pt idx="2">
                  <c:v>43</c:v>
                </c:pt>
                <c:pt idx="3">
                  <c:v>49</c:v>
                </c:pt>
                <c:pt idx="4">
                  <c:v>58.5</c:v>
                </c:pt>
                <c:pt idx="5">
                  <c:v>69.5</c:v>
                </c:pt>
                <c:pt idx="6">
                  <c:v>79</c:v>
                </c:pt>
                <c:pt idx="7">
                  <c:v>90.5</c:v>
                </c:pt>
                <c:pt idx="8">
                  <c:v>100</c:v>
                </c:pt>
                <c:pt idx="9">
                  <c:v>108.5</c:v>
                </c:pt>
                <c:pt idx="10">
                  <c:v>119</c:v>
                </c:pt>
                <c:pt idx="11">
                  <c:v>128.5</c:v>
                </c:pt>
                <c:pt idx="12">
                  <c:v>140</c:v>
                </c:pt>
                <c:pt idx="13">
                  <c:v>148.5</c:v>
                </c:pt>
                <c:pt idx="14">
                  <c:v>161</c:v>
                </c:pt>
                <c:pt idx="15">
                  <c:v>169.5</c:v>
                </c:pt>
                <c:pt idx="16">
                  <c:v>179</c:v>
                </c:pt>
                <c:pt idx="17">
                  <c:v>189</c:v>
                </c:pt>
                <c:pt idx="18">
                  <c:v>199.5</c:v>
                </c:pt>
                <c:pt idx="19">
                  <c:v>209</c:v>
                </c:pt>
                <c:pt idx="20">
                  <c:v>218.5</c:v>
                </c:pt>
                <c:pt idx="21">
                  <c:v>228.5</c:v>
                </c:pt>
                <c:pt idx="22">
                  <c:v>235</c:v>
                </c:pt>
                <c:pt idx="23">
                  <c:v>244</c:v>
                </c:pt>
                <c:pt idx="24">
                  <c:v>252.5</c:v>
                </c:pt>
                <c:pt idx="25">
                  <c:v>261</c:v>
                </c:pt>
                <c:pt idx="26">
                  <c:v>263</c:v>
                </c:pt>
                <c:pt idx="27">
                  <c:v>271.5</c:v>
                </c:pt>
                <c:pt idx="28">
                  <c:v>277.5</c:v>
                </c:pt>
                <c:pt idx="29">
                  <c:v>285</c:v>
                </c:pt>
                <c:pt idx="30">
                  <c:v>292.5</c:v>
                </c:pt>
                <c:pt idx="31">
                  <c:v>297.5</c:v>
                </c:pt>
                <c:pt idx="32">
                  <c:v>301</c:v>
                </c:pt>
                <c:pt idx="33">
                  <c:v>303</c:v>
                </c:pt>
                <c:pt idx="34">
                  <c:v>305</c:v>
                </c:pt>
                <c:pt idx="35">
                  <c:v>308</c:v>
                </c:pt>
                <c:pt idx="36">
                  <c:v>312.5</c:v>
                </c:pt>
                <c:pt idx="37">
                  <c:v>317.5</c:v>
                </c:pt>
                <c:pt idx="38">
                  <c:v>322.5</c:v>
                </c:pt>
                <c:pt idx="39">
                  <c:v>327.5</c:v>
                </c:pt>
                <c:pt idx="40">
                  <c:v>332.5</c:v>
                </c:pt>
                <c:pt idx="41">
                  <c:v>339</c:v>
                </c:pt>
                <c:pt idx="42">
                  <c:v>346.5</c:v>
                </c:pt>
                <c:pt idx="43">
                  <c:v>352.5</c:v>
                </c:pt>
                <c:pt idx="44">
                  <c:v>362.5</c:v>
                </c:pt>
                <c:pt idx="45">
                  <c:v>366.5</c:v>
                </c:pt>
                <c:pt idx="46">
                  <c:v>369.5</c:v>
                </c:pt>
                <c:pt idx="47">
                  <c:v>375.5</c:v>
                </c:pt>
                <c:pt idx="48">
                  <c:v>381.5</c:v>
                </c:pt>
                <c:pt idx="49">
                  <c:v>384.5</c:v>
                </c:pt>
                <c:pt idx="50">
                  <c:v>388</c:v>
                </c:pt>
                <c:pt idx="51">
                  <c:v>391.5</c:v>
                </c:pt>
                <c:pt idx="52">
                  <c:v>397.5</c:v>
                </c:pt>
                <c:pt idx="53">
                  <c:v>404</c:v>
                </c:pt>
                <c:pt idx="54">
                  <c:v>414</c:v>
                </c:pt>
                <c:pt idx="55">
                  <c:v>418</c:v>
                </c:pt>
                <c:pt idx="56">
                  <c:v>421.5</c:v>
                </c:pt>
                <c:pt idx="57">
                  <c:v>424.5</c:v>
                </c:pt>
                <c:pt idx="58">
                  <c:v>428</c:v>
                </c:pt>
                <c:pt idx="59">
                  <c:v>432.5</c:v>
                </c:pt>
                <c:pt idx="60">
                  <c:v>437.5</c:v>
                </c:pt>
                <c:pt idx="61">
                  <c:v>442.5</c:v>
                </c:pt>
                <c:pt idx="62">
                  <c:v>447.5</c:v>
                </c:pt>
                <c:pt idx="63">
                  <c:v>452.5</c:v>
                </c:pt>
                <c:pt idx="64">
                  <c:v>457.5</c:v>
                </c:pt>
                <c:pt idx="65">
                  <c:v>461</c:v>
                </c:pt>
                <c:pt idx="66">
                  <c:v>463.5</c:v>
                </c:pt>
                <c:pt idx="67">
                  <c:v>467.5</c:v>
                </c:pt>
                <c:pt idx="68">
                  <c:v>472.5</c:v>
                </c:pt>
                <c:pt idx="69">
                  <c:v>476</c:v>
                </c:pt>
                <c:pt idx="70">
                  <c:v>478.5</c:v>
                </c:pt>
                <c:pt idx="71">
                  <c:v>481.5</c:v>
                </c:pt>
                <c:pt idx="72">
                  <c:v>484</c:v>
                </c:pt>
                <c:pt idx="73">
                  <c:v>487</c:v>
                </c:pt>
                <c:pt idx="74">
                  <c:v>490</c:v>
                </c:pt>
                <c:pt idx="75">
                  <c:v>492</c:v>
                </c:pt>
                <c:pt idx="76">
                  <c:v>494</c:v>
                </c:pt>
                <c:pt idx="77">
                  <c:v>497.5</c:v>
                </c:pt>
                <c:pt idx="78">
                  <c:v>502.5</c:v>
                </c:pt>
                <c:pt idx="79">
                  <c:v>508</c:v>
                </c:pt>
                <c:pt idx="80">
                  <c:v>512.5</c:v>
                </c:pt>
                <c:pt idx="81">
                  <c:v>517.5</c:v>
                </c:pt>
                <c:pt idx="82">
                  <c:v>521.5</c:v>
                </c:pt>
                <c:pt idx="83">
                  <c:v>524.5</c:v>
                </c:pt>
                <c:pt idx="84">
                  <c:v>528</c:v>
                </c:pt>
                <c:pt idx="85">
                  <c:v>531</c:v>
                </c:pt>
                <c:pt idx="86">
                  <c:v>535</c:v>
                </c:pt>
                <c:pt idx="87">
                  <c:v>539</c:v>
                </c:pt>
                <c:pt idx="88">
                  <c:v>541</c:v>
                </c:pt>
                <c:pt idx="89">
                  <c:v>543</c:v>
                </c:pt>
                <c:pt idx="90">
                  <c:v>545</c:v>
                </c:pt>
                <c:pt idx="91">
                  <c:v>547</c:v>
                </c:pt>
                <c:pt idx="92">
                  <c:v>549</c:v>
                </c:pt>
                <c:pt idx="93">
                  <c:v>552.5</c:v>
                </c:pt>
                <c:pt idx="94">
                  <c:v>557.5</c:v>
                </c:pt>
                <c:pt idx="95">
                  <c:v>561</c:v>
                </c:pt>
                <c:pt idx="96">
                  <c:v>563</c:v>
                </c:pt>
                <c:pt idx="97">
                  <c:v>565</c:v>
                </c:pt>
                <c:pt idx="98">
                  <c:v>567</c:v>
                </c:pt>
                <c:pt idx="99">
                  <c:v>569</c:v>
                </c:pt>
                <c:pt idx="100">
                  <c:v>572.5</c:v>
                </c:pt>
                <c:pt idx="101">
                  <c:v>577.5</c:v>
                </c:pt>
                <c:pt idx="102">
                  <c:v>582.5</c:v>
                </c:pt>
                <c:pt idx="103">
                  <c:v>587.5</c:v>
                </c:pt>
                <c:pt idx="104">
                  <c:v>605</c:v>
                </c:pt>
                <c:pt idx="105">
                  <c:v>615</c:v>
                </c:pt>
                <c:pt idx="106">
                  <c:v>625</c:v>
                </c:pt>
                <c:pt idx="107">
                  <c:v>635</c:v>
                </c:pt>
                <c:pt idx="108">
                  <c:v>645</c:v>
                </c:pt>
                <c:pt idx="109">
                  <c:v>655</c:v>
                </c:pt>
                <c:pt idx="110">
                  <c:v>665</c:v>
                </c:pt>
                <c:pt idx="111">
                  <c:v>675</c:v>
                </c:pt>
                <c:pt idx="112">
                  <c:v>685</c:v>
                </c:pt>
                <c:pt idx="113">
                  <c:v>695</c:v>
                </c:pt>
                <c:pt idx="114">
                  <c:v>705</c:v>
                </c:pt>
                <c:pt idx="115">
                  <c:v>715</c:v>
                </c:pt>
                <c:pt idx="116">
                  <c:v>725</c:v>
                </c:pt>
                <c:pt idx="117">
                  <c:v>735</c:v>
                </c:pt>
                <c:pt idx="118">
                  <c:v>745</c:v>
                </c:pt>
                <c:pt idx="119">
                  <c:v>755</c:v>
                </c:pt>
                <c:pt idx="120">
                  <c:v>765</c:v>
                </c:pt>
                <c:pt idx="121">
                  <c:v>775</c:v>
                </c:pt>
                <c:pt idx="122">
                  <c:v>785</c:v>
                </c:pt>
                <c:pt idx="123">
                  <c:v>795</c:v>
                </c:pt>
                <c:pt idx="124">
                  <c:v>805</c:v>
                </c:pt>
                <c:pt idx="125">
                  <c:v>815</c:v>
                </c:pt>
                <c:pt idx="126">
                  <c:v>825</c:v>
                </c:pt>
                <c:pt idx="127">
                  <c:v>835</c:v>
                </c:pt>
                <c:pt idx="128">
                  <c:v>850</c:v>
                </c:pt>
                <c:pt idx="129">
                  <c:v>851.5</c:v>
                </c:pt>
                <c:pt idx="130">
                  <c:v>856.5</c:v>
                </c:pt>
                <c:pt idx="131">
                  <c:v>862</c:v>
                </c:pt>
                <c:pt idx="132">
                  <c:v>866</c:v>
                </c:pt>
                <c:pt idx="133">
                  <c:v>869.5</c:v>
                </c:pt>
                <c:pt idx="134">
                  <c:v>872.5</c:v>
                </c:pt>
                <c:pt idx="135">
                  <c:v>878</c:v>
                </c:pt>
                <c:pt idx="136">
                  <c:v>884</c:v>
                </c:pt>
                <c:pt idx="137">
                  <c:v>888</c:v>
                </c:pt>
                <c:pt idx="138">
                  <c:v>895</c:v>
                </c:pt>
                <c:pt idx="139">
                  <c:v>905</c:v>
                </c:pt>
                <c:pt idx="140">
                  <c:v>915</c:v>
                </c:pt>
                <c:pt idx="141">
                  <c:v>925</c:v>
                </c:pt>
                <c:pt idx="142">
                  <c:v>933.5</c:v>
                </c:pt>
                <c:pt idx="143">
                  <c:v>938.5</c:v>
                </c:pt>
                <c:pt idx="144">
                  <c:v>945</c:v>
                </c:pt>
                <c:pt idx="145">
                  <c:v>952</c:v>
                </c:pt>
                <c:pt idx="146">
                  <c:v>957</c:v>
                </c:pt>
                <c:pt idx="147">
                  <c:v>962.5</c:v>
                </c:pt>
                <c:pt idx="148">
                  <c:v>966</c:v>
                </c:pt>
                <c:pt idx="149">
                  <c:v>970</c:v>
                </c:pt>
                <c:pt idx="150">
                  <c:v>975.5</c:v>
                </c:pt>
                <c:pt idx="151">
                  <c:v>984</c:v>
                </c:pt>
                <c:pt idx="152">
                  <c:v>995</c:v>
                </c:pt>
                <c:pt idx="153">
                  <c:v>1008</c:v>
                </c:pt>
                <c:pt idx="154">
                  <c:v>1018</c:v>
                </c:pt>
                <c:pt idx="155">
                  <c:v>1025</c:v>
                </c:pt>
                <c:pt idx="156">
                  <c:v>1035</c:v>
                </c:pt>
                <c:pt idx="157">
                  <c:v>1045.5</c:v>
                </c:pt>
                <c:pt idx="158">
                  <c:v>1055.5</c:v>
                </c:pt>
                <c:pt idx="159">
                  <c:v>1065.5</c:v>
                </c:pt>
                <c:pt idx="160">
                  <c:v>1075.5</c:v>
                </c:pt>
                <c:pt idx="161">
                  <c:v>1085.5</c:v>
                </c:pt>
                <c:pt idx="162">
                  <c:v>1095.5</c:v>
                </c:pt>
                <c:pt idx="163">
                  <c:v>1105.5</c:v>
                </c:pt>
                <c:pt idx="164">
                  <c:v>1115.5</c:v>
                </c:pt>
                <c:pt idx="165">
                  <c:v>1125.5</c:v>
                </c:pt>
                <c:pt idx="166">
                  <c:v>1135.5</c:v>
                </c:pt>
                <c:pt idx="167">
                  <c:v>1145.5</c:v>
                </c:pt>
                <c:pt idx="168">
                  <c:v>1155.5</c:v>
                </c:pt>
                <c:pt idx="169">
                  <c:v>1165.5</c:v>
                </c:pt>
                <c:pt idx="170">
                  <c:v>1175.5</c:v>
                </c:pt>
                <c:pt idx="171">
                  <c:v>1185.5</c:v>
                </c:pt>
                <c:pt idx="172">
                  <c:v>1195.5</c:v>
                </c:pt>
                <c:pt idx="173">
                  <c:v>1205.5</c:v>
                </c:pt>
                <c:pt idx="174">
                  <c:v>1214</c:v>
                </c:pt>
                <c:pt idx="175">
                  <c:v>1219.5</c:v>
                </c:pt>
              </c:strCache>
            </c:strRef>
          </c:xVal>
          <c:yVal>
            <c:numRef>
              <c:f>'[1]Graphing (testing)'!$L$3:$L$178</c:f>
              <c:numCache>
                <c:formatCode>General</c:formatCode>
                <c:ptCount val="176"/>
                <c:pt idx="0">
                  <c:v>1.0022412549700901</c:v>
                </c:pt>
                <c:pt idx="1">
                  <c:v>1.00536363127392</c:v>
                </c:pt>
                <c:pt idx="2">
                  <c:v>0.99045751353044398</c:v>
                </c:pt>
                <c:pt idx="3">
                  <c:v>0.99443457635506904</c:v>
                </c:pt>
                <c:pt idx="4">
                  <c:v>0.98910845821021498</c:v>
                </c:pt>
                <c:pt idx="5">
                  <c:v>0.99931026799991596</c:v>
                </c:pt>
                <c:pt idx="6">
                  <c:v>1.0092204406459799</c:v>
                </c:pt>
                <c:pt idx="7">
                  <c:v>1.00520361561492</c:v>
                </c:pt>
                <c:pt idx="8">
                  <c:v>1.0006343922021299</c:v>
                </c:pt>
                <c:pt idx="9">
                  <c:v>0.99685016549227101</c:v>
                </c:pt>
                <c:pt idx="10">
                  <c:v>1.00945467840223</c:v>
                </c:pt>
                <c:pt idx="11">
                  <c:v>1.0004540812318199</c:v>
                </c:pt>
                <c:pt idx="12">
                  <c:v>0.99943232567463702</c:v>
                </c:pt>
                <c:pt idx="13">
                  <c:v>1.0104788873581501</c:v>
                </c:pt>
                <c:pt idx="14">
                  <c:v>1.01170055832478</c:v>
                </c:pt>
                <c:pt idx="15">
                  <c:v>1.0191623274750601</c:v>
                </c:pt>
                <c:pt idx="16">
                  <c:v>1.0138282204169999</c:v>
                </c:pt>
                <c:pt idx="17">
                  <c:v>1.01477236326517</c:v>
                </c:pt>
                <c:pt idx="18">
                  <c:v>1.01188890742208</c:v>
                </c:pt>
                <c:pt idx="19">
                  <c:v>1.0026838263023099</c:v>
                </c:pt>
                <c:pt idx="20">
                  <c:v>0.99386140063475403</c:v>
                </c:pt>
                <c:pt idx="21">
                  <c:v>0.993692900528516</c:v>
                </c:pt>
                <c:pt idx="22">
                  <c:v>0.99732887219428701</c:v>
                </c:pt>
                <c:pt idx="23">
                  <c:v>1.0028338927798</c:v>
                </c:pt>
                <c:pt idx="24">
                  <c:v>1.0143689499749799</c:v>
                </c:pt>
                <c:pt idx="25">
                  <c:v>0.98879169094366604</c:v>
                </c:pt>
                <c:pt idx="26">
                  <c:v>0.98484696370193803</c:v>
                </c:pt>
                <c:pt idx="27">
                  <c:v>1.00629600880022</c:v>
                </c:pt>
                <c:pt idx="28">
                  <c:v>1.0182885035160001</c:v>
                </c:pt>
                <c:pt idx="29">
                  <c:v>1.02204361578598</c:v>
                </c:pt>
                <c:pt idx="30">
                  <c:v>1.0111634873556901</c:v>
                </c:pt>
                <c:pt idx="31">
                  <c:v>1.0461481347036099</c:v>
                </c:pt>
                <c:pt idx="32">
                  <c:v>1.0114777655566001</c:v>
                </c:pt>
                <c:pt idx="33">
                  <c:v>1.0164831671897101</c:v>
                </c:pt>
                <c:pt idx="34">
                  <c:v>1.01274876438547</c:v>
                </c:pt>
                <c:pt idx="35">
                  <c:v>1.0131103609471499</c:v>
                </c:pt>
                <c:pt idx="36">
                  <c:v>1.0111208646492</c:v>
                </c:pt>
                <c:pt idx="37">
                  <c:v>1.01175195568537</c:v>
                </c:pt>
                <c:pt idx="38">
                  <c:v>1.0120736023093</c:v>
                </c:pt>
                <c:pt idx="39">
                  <c:v>0.95153757408058803</c:v>
                </c:pt>
                <c:pt idx="40">
                  <c:v>0.95939884546548104</c:v>
                </c:pt>
                <c:pt idx="41">
                  <c:v>0.95387111711293404</c:v>
                </c:pt>
                <c:pt idx="42">
                  <c:v>0.95750376160041495</c:v>
                </c:pt>
                <c:pt idx="43">
                  <c:v>0.984884430365777</c:v>
                </c:pt>
                <c:pt idx="44">
                  <c:v>0.95600511795394905</c:v>
                </c:pt>
                <c:pt idx="45">
                  <c:v>0.97839046413389497</c:v>
                </c:pt>
                <c:pt idx="46">
                  <c:v>0.97838336114312996</c:v>
                </c:pt>
                <c:pt idx="47">
                  <c:v>0.97192815576800395</c:v>
                </c:pt>
                <c:pt idx="48">
                  <c:v>0.98015679557826196</c:v>
                </c:pt>
                <c:pt idx="49">
                  <c:v>0.99544718731651305</c:v>
                </c:pt>
                <c:pt idx="50">
                  <c:v>0.99510236491085802</c:v>
                </c:pt>
                <c:pt idx="51">
                  <c:v>0.98857169184564997</c:v>
                </c:pt>
                <c:pt idx="52">
                  <c:v>0.96670273516183802</c:v>
                </c:pt>
                <c:pt idx="53">
                  <c:v>0.98509213841811005</c:v>
                </c:pt>
                <c:pt idx="54">
                  <c:v>1.00195890263497</c:v>
                </c:pt>
                <c:pt idx="55">
                  <c:v>0.99905761620935596</c:v>
                </c:pt>
                <c:pt idx="56">
                  <c:v>1.0057301015972699</c:v>
                </c:pt>
                <c:pt idx="57">
                  <c:v>1.01391257634543</c:v>
                </c:pt>
                <c:pt idx="58">
                  <c:v>1.02122912926391</c:v>
                </c:pt>
                <c:pt idx="59">
                  <c:v>1.02352130905182</c:v>
                </c:pt>
                <c:pt idx="60">
                  <c:v>1.0194075307531101</c:v>
                </c:pt>
                <c:pt idx="61">
                  <c:v>1.0140735545192301</c:v>
                </c:pt>
                <c:pt idx="62">
                  <c:v>1.00706879712405</c:v>
                </c:pt>
                <c:pt idx="63">
                  <c:v>1.01083563879292</c:v>
                </c:pt>
                <c:pt idx="64">
                  <c:v>1.0122456805186499</c:v>
                </c:pt>
                <c:pt idx="65">
                  <c:v>1.0354308037120701</c:v>
                </c:pt>
                <c:pt idx="66">
                  <c:v>1.0208093783757</c:v>
                </c:pt>
                <c:pt idx="67">
                  <c:v>1.0318160621996399</c:v>
                </c:pt>
                <c:pt idx="68">
                  <c:v>1.00234529018118</c:v>
                </c:pt>
                <c:pt idx="69">
                  <c:v>0.997889542406179</c:v>
                </c:pt>
                <c:pt idx="70">
                  <c:v>0.98987840859769904</c:v>
                </c:pt>
                <c:pt idx="72">
                  <c:v>1.0100605497791899</c:v>
                </c:pt>
                <c:pt idx="73">
                  <c:v>1.0157478056375899</c:v>
                </c:pt>
                <c:pt idx="74">
                  <c:v>1.01419591271137</c:v>
                </c:pt>
                <c:pt idx="75">
                  <c:v>1.00962002975361</c:v>
                </c:pt>
                <c:pt idx="76">
                  <c:v>1.0106940824174699</c:v>
                </c:pt>
                <c:pt idx="77">
                  <c:v>1.00850689672628</c:v>
                </c:pt>
                <c:pt idx="78">
                  <c:v>0.96801331991754302</c:v>
                </c:pt>
                <c:pt idx="79">
                  <c:v>0.98945663057285504</c:v>
                </c:pt>
                <c:pt idx="80">
                  <c:v>1.0109459311101401</c:v>
                </c:pt>
                <c:pt idx="81">
                  <c:v>1.01324827264836</c:v>
                </c:pt>
                <c:pt idx="82">
                  <c:v>1.0013730939027501</c:v>
                </c:pt>
                <c:pt idx="83">
                  <c:v>1.00707306724993</c:v>
                </c:pt>
                <c:pt idx="84">
                  <c:v>0.94931299593527896</c:v>
                </c:pt>
                <c:pt idx="85">
                  <c:v>0.949615660028586</c:v>
                </c:pt>
                <c:pt idx="86">
                  <c:v>0.92444090160524495</c:v>
                </c:pt>
                <c:pt idx="87">
                  <c:v>0.98138169538211395</c:v>
                </c:pt>
                <c:pt idx="88">
                  <c:v>0.97396926964337005</c:v>
                </c:pt>
                <c:pt idx="89">
                  <c:v>0.98262696318991205</c:v>
                </c:pt>
                <c:pt idx="90">
                  <c:v>0.99932100315476502</c:v>
                </c:pt>
                <c:pt idx="91">
                  <c:v>0.97874669224789601</c:v>
                </c:pt>
                <c:pt idx="92">
                  <c:v>0.98510803538152103</c:v>
                </c:pt>
                <c:pt idx="93">
                  <c:v>0.98386205095774704</c:v>
                </c:pt>
                <c:pt idx="94">
                  <c:v>1.0088133020936201</c:v>
                </c:pt>
                <c:pt idx="95">
                  <c:v>1.0055530900201299</c:v>
                </c:pt>
                <c:pt idx="96">
                  <c:v>0.98937296789280305</c:v>
                </c:pt>
                <c:pt idx="97">
                  <c:v>0.98912515191186701</c:v>
                </c:pt>
                <c:pt idx="98">
                  <c:v>0.99466612095019402</c:v>
                </c:pt>
                <c:pt idx="99">
                  <c:v>0.996448481250095</c:v>
                </c:pt>
                <c:pt idx="100">
                  <c:v>1.00441871610474</c:v>
                </c:pt>
                <c:pt idx="101">
                  <c:v>1.0078063496935401</c:v>
                </c:pt>
                <c:pt idx="102">
                  <c:v>1.0129129401172501</c:v>
                </c:pt>
                <c:pt idx="103">
                  <c:v>0.99891502785893005</c:v>
                </c:pt>
                <c:pt idx="104">
                  <c:v>0.98682777576121405</c:v>
                </c:pt>
                <c:pt idx="105">
                  <c:v>1.01305761642814</c:v>
                </c:pt>
                <c:pt idx="106">
                  <c:v>1.07781885921554</c:v>
                </c:pt>
                <c:pt idx="107">
                  <c:v>0.97891507513473397</c:v>
                </c:pt>
                <c:pt idx="108">
                  <c:v>1.0082364264793999</c:v>
                </c:pt>
                <c:pt idx="109">
                  <c:v>1.0126402064686599</c:v>
                </c:pt>
                <c:pt idx="110">
                  <c:v>0.98460270701633701</c:v>
                </c:pt>
                <c:pt idx="111">
                  <c:v>1.00674456443347</c:v>
                </c:pt>
                <c:pt idx="112">
                  <c:v>1.01529562160688</c:v>
                </c:pt>
                <c:pt idx="113">
                  <c:v>0.99721690115768002</c:v>
                </c:pt>
                <c:pt idx="114">
                  <c:v>1.0004598906815001</c:v>
                </c:pt>
                <c:pt idx="115">
                  <c:v>1.0024245975427399</c:v>
                </c:pt>
                <c:pt idx="116">
                  <c:v>0.976373081130675</c:v>
                </c:pt>
                <c:pt idx="117">
                  <c:v>1.0105300319519701</c:v>
                </c:pt>
                <c:pt idx="118">
                  <c:v>1.0064963198553201</c:v>
                </c:pt>
                <c:pt idx="119">
                  <c:v>1.0272394443551001</c:v>
                </c:pt>
                <c:pt idx="120">
                  <c:v>1.0243068619270199</c:v>
                </c:pt>
                <c:pt idx="121">
                  <c:v>1.01550407455606</c:v>
                </c:pt>
                <c:pt idx="122">
                  <c:v>1.0150986245562099</c:v>
                </c:pt>
                <c:pt idx="123">
                  <c:v>1.03377807067828</c:v>
                </c:pt>
                <c:pt idx="124">
                  <c:v>1.02372630579297</c:v>
                </c:pt>
                <c:pt idx="125">
                  <c:v>0.99931804632252696</c:v>
                </c:pt>
                <c:pt idx="126">
                  <c:v>1.02014322434775</c:v>
                </c:pt>
                <c:pt idx="127">
                  <c:v>1.0146400118958201</c:v>
                </c:pt>
                <c:pt idx="128">
                  <c:v>1.0084955930525601</c:v>
                </c:pt>
                <c:pt idx="129">
                  <c:v>1.0071760535712699</c:v>
                </c:pt>
                <c:pt idx="130">
                  <c:v>1.0068878651676001</c:v>
                </c:pt>
                <c:pt idx="131">
                  <c:v>1.01221606153504</c:v>
                </c:pt>
                <c:pt idx="132">
                  <c:v>1.00764226337694</c:v>
                </c:pt>
                <c:pt idx="133">
                  <c:v>1.0213942480801099</c:v>
                </c:pt>
                <c:pt idx="134">
                  <c:v>1.0127639264783499</c:v>
                </c:pt>
                <c:pt idx="135">
                  <c:v>1.0169130011928</c:v>
                </c:pt>
                <c:pt idx="136">
                  <c:v>1.02474641274185</c:v>
                </c:pt>
                <c:pt idx="137">
                  <c:v>1.0123458134777401</c:v>
                </c:pt>
                <c:pt idx="138">
                  <c:v>1.0147553282065001</c:v>
                </c:pt>
                <c:pt idx="139">
                  <c:v>1.01929204972504</c:v>
                </c:pt>
                <c:pt idx="140">
                  <c:v>1.0215347364181599</c:v>
                </c:pt>
                <c:pt idx="141">
                  <c:v>1.01214816658422</c:v>
                </c:pt>
                <c:pt idx="142">
                  <c:v>1.02912380691438</c:v>
                </c:pt>
                <c:pt idx="143">
                  <c:v>1.0288504957982201</c:v>
                </c:pt>
                <c:pt idx="144">
                  <c:v>1.0172550763591699</c:v>
                </c:pt>
                <c:pt idx="145">
                  <c:v>1.00310045084318</c:v>
                </c:pt>
                <c:pt idx="146">
                  <c:v>1.0163598222917301</c:v>
                </c:pt>
                <c:pt idx="147">
                  <c:v>1.01954144383348</c:v>
                </c:pt>
                <c:pt idx="148">
                  <c:v>1.0130858701064001</c:v>
                </c:pt>
                <c:pt idx="149">
                  <c:v>1.01685453820537</c:v>
                </c:pt>
                <c:pt idx="150">
                  <c:v>1.00797320125</c:v>
                </c:pt>
                <c:pt idx="151">
                  <c:v>1.00991029899044</c:v>
                </c:pt>
                <c:pt idx="152">
                  <c:v>1.01375178557004</c:v>
                </c:pt>
                <c:pt idx="153">
                  <c:v>1.0128536489981701</c:v>
                </c:pt>
                <c:pt idx="154">
                  <c:v>1.0216280393008399</c:v>
                </c:pt>
                <c:pt idx="155">
                  <c:v>0.99803779314161201</c:v>
                </c:pt>
                <c:pt idx="156">
                  <c:v>1.00616983219963</c:v>
                </c:pt>
                <c:pt idx="157">
                  <c:v>0.99742980135725101</c:v>
                </c:pt>
                <c:pt idx="158">
                  <c:v>1.01731950790577</c:v>
                </c:pt>
                <c:pt idx="159">
                  <c:v>1.02593609470415</c:v>
                </c:pt>
                <c:pt idx="160">
                  <c:v>1.0168754517190599</c:v>
                </c:pt>
                <c:pt idx="161">
                  <c:v>1.0084526222302499</c:v>
                </c:pt>
                <c:pt idx="162">
                  <c:v>1.0065824230389699</c:v>
                </c:pt>
                <c:pt idx="163">
                  <c:v>1.0141446504306</c:v>
                </c:pt>
                <c:pt idx="164">
                  <c:v>1.0211723501460599</c:v>
                </c:pt>
                <c:pt idx="165">
                  <c:v>0.97948613513360405</c:v>
                </c:pt>
                <c:pt idx="166">
                  <c:v>0.99732207273602302</c:v>
                </c:pt>
                <c:pt idx="167">
                  <c:v>0.99338817102429999</c:v>
                </c:pt>
                <c:pt idx="168">
                  <c:v>0.98742030496210897</c:v>
                </c:pt>
                <c:pt idx="169">
                  <c:v>0.98363140646320402</c:v>
                </c:pt>
                <c:pt idx="170">
                  <c:v>0.98519668601685795</c:v>
                </c:pt>
                <c:pt idx="171">
                  <c:v>0.97461590135102705</c:v>
                </c:pt>
                <c:pt idx="172">
                  <c:v>0.97399259066011901</c:v>
                </c:pt>
                <c:pt idx="173">
                  <c:v>0.97947501135081705</c:v>
                </c:pt>
                <c:pt idx="174">
                  <c:v>0.97828166544775697</c:v>
                </c:pt>
                <c:pt idx="175">
                  <c:v>0.97481102873440595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9F-424D-98AA-AF4FE3442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091712"/>
        <c:axId val="219092672"/>
      </c:scatterChart>
      <c:valAx>
        <c:axId val="21909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092672"/>
        <c:crosses val="autoZero"/>
        <c:crossBetween val="midCat"/>
      </c:valAx>
      <c:valAx>
        <c:axId val="2190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091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'[1]Graphing (testing)'!$AS$1</c:f>
              <c:strCache>
                <c:ptCount val="1"/>
                <c:pt idx="0">
                  <c:v>Modern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'[1]Graphing (testing)'!$AR$2:$AR$177</c:f>
              <c:strCache>
                <c:ptCount val="176"/>
                <c:pt idx="0">
                  <c:v>21</c:v>
                </c:pt>
                <c:pt idx="1">
                  <c:v>30</c:v>
                </c:pt>
                <c:pt idx="2">
                  <c:v>43</c:v>
                </c:pt>
                <c:pt idx="3">
                  <c:v>49</c:v>
                </c:pt>
                <c:pt idx="4">
                  <c:v>58.5</c:v>
                </c:pt>
                <c:pt idx="5">
                  <c:v>69.5</c:v>
                </c:pt>
                <c:pt idx="6">
                  <c:v>79</c:v>
                </c:pt>
                <c:pt idx="7">
                  <c:v>90.5</c:v>
                </c:pt>
                <c:pt idx="8">
                  <c:v>100</c:v>
                </c:pt>
                <c:pt idx="9">
                  <c:v>108.5</c:v>
                </c:pt>
                <c:pt idx="10">
                  <c:v>119</c:v>
                </c:pt>
                <c:pt idx="11">
                  <c:v>128.5</c:v>
                </c:pt>
                <c:pt idx="12">
                  <c:v>140</c:v>
                </c:pt>
                <c:pt idx="13">
                  <c:v>148.5</c:v>
                </c:pt>
                <c:pt idx="14">
                  <c:v>161</c:v>
                </c:pt>
                <c:pt idx="15">
                  <c:v>169.5</c:v>
                </c:pt>
                <c:pt idx="16">
                  <c:v>179</c:v>
                </c:pt>
                <c:pt idx="17">
                  <c:v>189</c:v>
                </c:pt>
                <c:pt idx="18">
                  <c:v>199.5</c:v>
                </c:pt>
                <c:pt idx="19">
                  <c:v>209</c:v>
                </c:pt>
                <c:pt idx="20">
                  <c:v>218.5</c:v>
                </c:pt>
                <c:pt idx="21">
                  <c:v>228.5</c:v>
                </c:pt>
                <c:pt idx="22">
                  <c:v>235</c:v>
                </c:pt>
                <c:pt idx="23">
                  <c:v>244</c:v>
                </c:pt>
                <c:pt idx="24">
                  <c:v>252.5</c:v>
                </c:pt>
                <c:pt idx="25">
                  <c:v>261</c:v>
                </c:pt>
                <c:pt idx="26">
                  <c:v>263</c:v>
                </c:pt>
                <c:pt idx="27">
                  <c:v>271.5</c:v>
                </c:pt>
                <c:pt idx="28">
                  <c:v>277.5</c:v>
                </c:pt>
                <c:pt idx="29">
                  <c:v>285</c:v>
                </c:pt>
                <c:pt idx="30">
                  <c:v>292.5</c:v>
                </c:pt>
                <c:pt idx="31">
                  <c:v>297.5</c:v>
                </c:pt>
                <c:pt idx="32">
                  <c:v>301</c:v>
                </c:pt>
                <c:pt idx="33">
                  <c:v>303</c:v>
                </c:pt>
                <c:pt idx="34">
                  <c:v>305</c:v>
                </c:pt>
                <c:pt idx="35">
                  <c:v>308</c:v>
                </c:pt>
                <c:pt idx="36">
                  <c:v>312.5</c:v>
                </c:pt>
                <c:pt idx="37">
                  <c:v>317.5</c:v>
                </c:pt>
                <c:pt idx="38">
                  <c:v>322.5</c:v>
                </c:pt>
                <c:pt idx="39">
                  <c:v>327.5</c:v>
                </c:pt>
                <c:pt idx="40">
                  <c:v>332.5</c:v>
                </c:pt>
                <c:pt idx="41">
                  <c:v>339</c:v>
                </c:pt>
                <c:pt idx="42">
                  <c:v>346.5</c:v>
                </c:pt>
                <c:pt idx="43">
                  <c:v>352.5</c:v>
                </c:pt>
                <c:pt idx="44">
                  <c:v>362.5</c:v>
                </c:pt>
                <c:pt idx="45">
                  <c:v>366.5</c:v>
                </c:pt>
                <c:pt idx="46">
                  <c:v>369.5</c:v>
                </c:pt>
                <c:pt idx="47">
                  <c:v>375.5</c:v>
                </c:pt>
                <c:pt idx="48">
                  <c:v>381.5</c:v>
                </c:pt>
                <c:pt idx="49">
                  <c:v>384.5</c:v>
                </c:pt>
                <c:pt idx="50">
                  <c:v>388</c:v>
                </c:pt>
                <c:pt idx="51">
                  <c:v>391.5</c:v>
                </c:pt>
                <c:pt idx="52">
                  <c:v>397.5</c:v>
                </c:pt>
                <c:pt idx="53">
                  <c:v>404</c:v>
                </c:pt>
                <c:pt idx="54">
                  <c:v>414</c:v>
                </c:pt>
                <c:pt idx="55">
                  <c:v>418</c:v>
                </c:pt>
                <c:pt idx="56">
                  <c:v>421.5</c:v>
                </c:pt>
                <c:pt idx="57">
                  <c:v>424.5</c:v>
                </c:pt>
                <c:pt idx="58">
                  <c:v>428</c:v>
                </c:pt>
                <c:pt idx="59">
                  <c:v>432.5</c:v>
                </c:pt>
                <c:pt idx="60">
                  <c:v>437.5</c:v>
                </c:pt>
                <c:pt idx="61">
                  <c:v>442.5</c:v>
                </c:pt>
                <c:pt idx="62">
                  <c:v>447.5</c:v>
                </c:pt>
                <c:pt idx="63">
                  <c:v>452.5</c:v>
                </c:pt>
                <c:pt idx="64">
                  <c:v>457.5</c:v>
                </c:pt>
                <c:pt idx="65">
                  <c:v>461</c:v>
                </c:pt>
                <c:pt idx="66">
                  <c:v>463.5</c:v>
                </c:pt>
                <c:pt idx="67">
                  <c:v>467.5</c:v>
                </c:pt>
                <c:pt idx="68">
                  <c:v>472.5</c:v>
                </c:pt>
                <c:pt idx="69">
                  <c:v>476</c:v>
                </c:pt>
                <c:pt idx="70">
                  <c:v>478.5</c:v>
                </c:pt>
                <c:pt idx="71">
                  <c:v>481.5</c:v>
                </c:pt>
                <c:pt idx="72">
                  <c:v>484</c:v>
                </c:pt>
                <c:pt idx="73">
                  <c:v>487</c:v>
                </c:pt>
                <c:pt idx="74">
                  <c:v>490</c:v>
                </c:pt>
                <c:pt idx="75">
                  <c:v>492</c:v>
                </c:pt>
                <c:pt idx="76">
                  <c:v>494</c:v>
                </c:pt>
                <c:pt idx="77">
                  <c:v>497.5</c:v>
                </c:pt>
                <c:pt idx="78">
                  <c:v>502.5</c:v>
                </c:pt>
                <c:pt idx="79">
                  <c:v>508</c:v>
                </c:pt>
                <c:pt idx="80">
                  <c:v>512.5</c:v>
                </c:pt>
                <c:pt idx="81">
                  <c:v>517.5</c:v>
                </c:pt>
                <c:pt idx="82">
                  <c:v>521.5</c:v>
                </c:pt>
                <c:pt idx="83">
                  <c:v>524.5</c:v>
                </c:pt>
                <c:pt idx="84">
                  <c:v>528</c:v>
                </c:pt>
                <c:pt idx="85">
                  <c:v>531</c:v>
                </c:pt>
                <c:pt idx="86">
                  <c:v>535</c:v>
                </c:pt>
                <c:pt idx="87">
                  <c:v>539</c:v>
                </c:pt>
                <c:pt idx="88">
                  <c:v>541</c:v>
                </c:pt>
                <c:pt idx="89">
                  <c:v>543</c:v>
                </c:pt>
                <c:pt idx="90">
                  <c:v>545</c:v>
                </c:pt>
                <c:pt idx="91">
                  <c:v>547</c:v>
                </c:pt>
                <c:pt idx="92">
                  <c:v>549</c:v>
                </c:pt>
                <c:pt idx="93">
                  <c:v>552.5</c:v>
                </c:pt>
                <c:pt idx="94">
                  <c:v>557.5</c:v>
                </c:pt>
                <c:pt idx="95">
                  <c:v>561</c:v>
                </c:pt>
                <c:pt idx="96">
                  <c:v>563</c:v>
                </c:pt>
                <c:pt idx="97">
                  <c:v>565</c:v>
                </c:pt>
                <c:pt idx="98">
                  <c:v>567</c:v>
                </c:pt>
                <c:pt idx="99">
                  <c:v>569</c:v>
                </c:pt>
                <c:pt idx="100">
                  <c:v>572.5</c:v>
                </c:pt>
                <c:pt idx="101">
                  <c:v>577.5</c:v>
                </c:pt>
                <c:pt idx="102">
                  <c:v>582.5</c:v>
                </c:pt>
                <c:pt idx="103">
                  <c:v>587.5</c:v>
                </c:pt>
                <c:pt idx="104">
                  <c:v>605</c:v>
                </c:pt>
                <c:pt idx="105">
                  <c:v>615</c:v>
                </c:pt>
                <c:pt idx="106">
                  <c:v>625</c:v>
                </c:pt>
                <c:pt idx="107">
                  <c:v>635</c:v>
                </c:pt>
                <c:pt idx="108">
                  <c:v>645</c:v>
                </c:pt>
                <c:pt idx="109">
                  <c:v>655</c:v>
                </c:pt>
                <c:pt idx="110">
                  <c:v>665</c:v>
                </c:pt>
                <c:pt idx="111">
                  <c:v>675</c:v>
                </c:pt>
                <c:pt idx="112">
                  <c:v>685</c:v>
                </c:pt>
                <c:pt idx="113">
                  <c:v>695</c:v>
                </c:pt>
                <c:pt idx="114">
                  <c:v>705</c:v>
                </c:pt>
                <c:pt idx="115">
                  <c:v>715</c:v>
                </c:pt>
                <c:pt idx="116">
                  <c:v>725</c:v>
                </c:pt>
                <c:pt idx="117">
                  <c:v>735</c:v>
                </c:pt>
                <c:pt idx="118">
                  <c:v>745</c:v>
                </c:pt>
                <c:pt idx="119">
                  <c:v>755</c:v>
                </c:pt>
                <c:pt idx="120">
                  <c:v>765</c:v>
                </c:pt>
                <c:pt idx="121">
                  <c:v>775</c:v>
                </c:pt>
                <c:pt idx="122">
                  <c:v>785</c:v>
                </c:pt>
                <c:pt idx="123">
                  <c:v>795</c:v>
                </c:pt>
                <c:pt idx="124">
                  <c:v>805</c:v>
                </c:pt>
                <c:pt idx="125">
                  <c:v>815</c:v>
                </c:pt>
                <c:pt idx="126">
                  <c:v>825</c:v>
                </c:pt>
                <c:pt idx="127">
                  <c:v>835</c:v>
                </c:pt>
                <c:pt idx="128">
                  <c:v>850</c:v>
                </c:pt>
                <c:pt idx="129">
                  <c:v>851.5</c:v>
                </c:pt>
                <c:pt idx="130">
                  <c:v>856.5</c:v>
                </c:pt>
                <c:pt idx="131">
                  <c:v>862</c:v>
                </c:pt>
                <c:pt idx="132">
                  <c:v>866</c:v>
                </c:pt>
                <c:pt idx="133">
                  <c:v>869.5</c:v>
                </c:pt>
                <c:pt idx="134">
                  <c:v>872.5</c:v>
                </c:pt>
                <c:pt idx="135">
                  <c:v>878</c:v>
                </c:pt>
                <c:pt idx="136">
                  <c:v>884</c:v>
                </c:pt>
                <c:pt idx="137">
                  <c:v>888</c:v>
                </c:pt>
                <c:pt idx="138">
                  <c:v>895</c:v>
                </c:pt>
                <c:pt idx="139">
                  <c:v>905</c:v>
                </c:pt>
                <c:pt idx="140">
                  <c:v>915</c:v>
                </c:pt>
                <c:pt idx="141">
                  <c:v>925</c:v>
                </c:pt>
                <c:pt idx="142">
                  <c:v>933.5</c:v>
                </c:pt>
                <c:pt idx="143">
                  <c:v>938.5</c:v>
                </c:pt>
                <c:pt idx="144">
                  <c:v>945</c:v>
                </c:pt>
                <c:pt idx="145">
                  <c:v>952</c:v>
                </c:pt>
                <c:pt idx="146">
                  <c:v>957</c:v>
                </c:pt>
                <c:pt idx="147">
                  <c:v>962.5</c:v>
                </c:pt>
                <c:pt idx="148">
                  <c:v>966</c:v>
                </c:pt>
                <c:pt idx="149">
                  <c:v>970</c:v>
                </c:pt>
                <c:pt idx="150">
                  <c:v>975.5</c:v>
                </c:pt>
                <c:pt idx="151">
                  <c:v>984</c:v>
                </c:pt>
                <c:pt idx="152">
                  <c:v>995</c:v>
                </c:pt>
                <c:pt idx="153">
                  <c:v>1008</c:v>
                </c:pt>
                <c:pt idx="154">
                  <c:v>1018</c:v>
                </c:pt>
                <c:pt idx="155">
                  <c:v>1025</c:v>
                </c:pt>
                <c:pt idx="156">
                  <c:v>1035</c:v>
                </c:pt>
                <c:pt idx="157">
                  <c:v>1045.5</c:v>
                </c:pt>
                <c:pt idx="158">
                  <c:v>1055.5</c:v>
                </c:pt>
                <c:pt idx="159">
                  <c:v>1065.5</c:v>
                </c:pt>
                <c:pt idx="160">
                  <c:v>1075.5</c:v>
                </c:pt>
                <c:pt idx="161">
                  <c:v>1085.5</c:v>
                </c:pt>
                <c:pt idx="162">
                  <c:v>1095.5</c:v>
                </c:pt>
                <c:pt idx="163">
                  <c:v>1105.5</c:v>
                </c:pt>
                <c:pt idx="164">
                  <c:v>1115.5</c:v>
                </c:pt>
                <c:pt idx="165">
                  <c:v>1125.5</c:v>
                </c:pt>
                <c:pt idx="166">
                  <c:v>1135.5</c:v>
                </c:pt>
                <c:pt idx="167">
                  <c:v>1145.5</c:v>
                </c:pt>
                <c:pt idx="168">
                  <c:v>1155.5</c:v>
                </c:pt>
                <c:pt idx="169">
                  <c:v>1165.5</c:v>
                </c:pt>
                <c:pt idx="170">
                  <c:v>1175.5</c:v>
                </c:pt>
                <c:pt idx="171">
                  <c:v>1185.5</c:v>
                </c:pt>
                <c:pt idx="172">
                  <c:v>1195.5</c:v>
                </c:pt>
                <c:pt idx="173">
                  <c:v>1205.5</c:v>
                </c:pt>
                <c:pt idx="174">
                  <c:v>1214</c:v>
                </c:pt>
                <c:pt idx="175">
                  <c:v>1219.5</c:v>
                </c:pt>
              </c:strCache>
            </c:strRef>
          </c:xVal>
          <c:yVal>
            <c:numRef>
              <c:f>'[1]Graphing (testing)'!$AS$2:$AS$177</c:f>
              <c:numCache>
                <c:formatCode>General</c:formatCode>
                <c:ptCount val="176"/>
                <c:pt idx="0">
                  <c:v>18.7335153936476</c:v>
                </c:pt>
                <c:pt idx="1">
                  <c:v>18.8993612138174</c:v>
                </c:pt>
                <c:pt idx="2">
                  <c:v>16.707771934454598</c:v>
                </c:pt>
                <c:pt idx="3">
                  <c:v>16.614103688470198</c:v>
                </c:pt>
                <c:pt idx="4">
                  <c:v>17.600297753157101</c:v>
                </c:pt>
                <c:pt idx="5">
                  <c:v>19.023804448800298</c:v>
                </c:pt>
                <c:pt idx="6">
                  <c:v>16.631812132910699</c:v>
                </c:pt>
                <c:pt idx="7">
                  <c:v>17.318757436651001</c:v>
                </c:pt>
                <c:pt idx="8">
                  <c:v>17.977122391566901</c:v>
                </c:pt>
                <c:pt idx="9">
                  <c:v>18.832745529055899</c:v>
                </c:pt>
                <c:pt idx="10">
                  <c:v>17.575149062748299</c:v>
                </c:pt>
                <c:pt idx="11">
                  <c:v>16.577432169272601</c:v>
                </c:pt>
                <c:pt idx="12">
                  <c:v>17.285767804450401</c:v>
                </c:pt>
                <c:pt idx="13">
                  <c:v>17.846355005090601</c:v>
                </c:pt>
                <c:pt idx="14">
                  <c:v>17.951953478879599</c:v>
                </c:pt>
                <c:pt idx="15">
                  <c:v>17.999076398155001</c:v>
                </c:pt>
                <c:pt idx="16">
                  <c:v>16.9079786890644</c:v>
                </c:pt>
                <c:pt idx="17">
                  <c:v>17.510073671674199</c:v>
                </c:pt>
                <c:pt idx="18">
                  <c:v>18.181081929131501</c:v>
                </c:pt>
                <c:pt idx="19">
                  <c:v>17.927309772120999</c:v>
                </c:pt>
                <c:pt idx="20">
                  <c:v>26.018908805756801</c:v>
                </c:pt>
                <c:pt idx="21">
                  <c:v>26.955359620773699</c:v>
                </c:pt>
                <c:pt idx="22">
                  <c:v>28.3085349889237</c:v>
                </c:pt>
                <c:pt idx="23">
                  <c:v>23.7265676601303</c:v>
                </c:pt>
                <c:pt idx="24">
                  <c:v>18.567006671791201</c:v>
                </c:pt>
                <c:pt idx="25">
                  <c:v>17.761928229897102</c:v>
                </c:pt>
                <c:pt idx="26">
                  <c:v>17.386548797664901</c:v>
                </c:pt>
                <c:pt idx="27">
                  <c:v>17.1135913166233</c:v>
                </c:pt>
                <c:pt idx="28">
                  <c:v>19.209360440614901</c:v>
                </c:pt>
                <c:pt idx="29">
                  <c:v>17.835453808199698</c:v>
                </c:pt>
                <c:pt idx="30">
                  <c:v>16.8737598219336</c:v>
                </c:pt>
                <c:pt idx="31">
                  <c:v>17.919794961969199</c:v>
                </c:pt>
                <c:pt idx="32">
                  <c:v>16.365133790244801</c:v>
                </c:pt>
                <c:pt idx="33">
                  <c:v>16.4739861998012</c:v>
                </c:pt>
                <c:pt idx="34">
                  <c:v>16.541561485392101</c:v>
                </c:pt>
                <c:pt idx="35">
                  <c:v>16.449059750825299</c:v>
                </c:pt>
                <c:pt idx="36">
                  <c:v>17.0722574413128</c:v>
                </c:pt>
                <c:pt idx="37">
                  <c:v>18.081395551572701</c:v>
                </c:pt>
                <c:pt idx="38">
                  <c:v>17.9247475695886</c:v>
                </c:pt>
                <c:pt idx="39">
                  <c:v>15.436732894972801</c:v>
                </c:pt>
                <c:pt idx="40">
                  <c:v>15.8515297647137</c:v>
                </c:pt>
                <c:pt idx="41">
                  <c:v>16.583759568014699</c:v>
                </c:pt>
                <c:pt idx="42">
                  <c:v>16.612925409924401</c:v>
                </c:pt>
                <c:pt idx="43">
                  <c:v>15.8974828916724</c:v>
                </c:pt>
                <c:pt idx="44">
                  <c:v>15.711580065143201</c:v>
                </c:pt>
                <c:pt idx="45">
                  <c:v>16.5018926722027</c:v>
                </c:pt>
                <c:pt idx="46">
                  <c:v>16.755152874798899</c:v>
                </c:pt>
                <c:pt idx="47">
                  <c:v>17.115442564463098</c:v>
                </c:pt>
                <c:pt idx="48">
                  <c:v>17.3996114514133</c:v>
                </c:pt>
                <c:pt idx="49">
                  <c:v>17.3398324454826</c:v>
                </c:pt>
                <c:pt idx="50">
                  <c:v>16.940258792307802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D5-4916-A514-5105037EE4BD}"/>
            </c:ext>
          </c:extLst>
        </c:ser>
        <c:ser>
          <c:idx val="1"/>
          <c:order val="1"/>
          <c:tx>
            <c:strRef>
              <c:f>'[1]Graphing (testing)'!$AT$1</c:f>
              <c:strCache>
                <c:ptCount val="1"/>
                <c:pt idx="0">
                  <c:v>Pre-European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'[1]Graphing (testing)'!$AR$2:$AR$177</c:f>
              <c:strCache>
                <c:ptCount val="176"/>
                <c:pt idx="0">
                  <c:v>21</c:v>
                </c:pt>
                <c:pt idx="1">
                  <c:v>30</c:v>
                </c:pt>
                <c:pt idx="2">
                  <c:v>43</c:v>
                </c:pt>
                <c:pt idx="3">
                  <c:v>49</c:v>
                </c:pt>
                <c:pt idx="4">
                  <c:v>58.5</c:v>
                </c:pt>
                <c:pt idx="5">
                  <c:v>69.5</c:v>
                </c:pt>
                <c:pt idx="6">
                  <c:v>79</c:v>
                </c:pt>
                <c:pt idx="7">
                  <c:v>90.5</c:v>
                </c:pt>
                <c:pt idx="8">
                  <c:v>100</c:v>
                </c:pt>
                <c:pt idx="9">
                  <c:v>108.5</c:v>
                </c:pt>
                <c:pt idx="10">
                  <c:v>119</c:v>
                </c:pt>
                <c:pt idx="11">
                  <c:v>128.5</c:v>
                </c:pt>
                <c:pt idx="12">
                  <c:v>140</c:v>
                </c:pt>
                <c:pt idx="13">
                  <c:v>148.5</c:v>
                </c:pt>
                <c:pt idx="14">
                  <c:v>161</c:v>
                </c:pt>
                <c:pt idx="15">
                  <c:v>169.5</c:v>
                </c:pt>
                <c:pt idx="16">
                  <c:v>179</c:v>
                </c:pt>
                <c:pt idx="17">
                  <c:v>189</c:v>
                </c:pt>
                <c:pt idx="18">
                  <c:v>199.5</c:v>
                </c:pt>
                <c:pt idx="19">
                  <c:v>209</c:v>
                </c:pt>
                <c:pt idx="20">
                  <c:v>218.5</c:v>
                </c:pt>
                <c:pt idx="21">
                  <c:v>228.5</c:v>
                </c:pt>
                <c:pt idx="22">
                  <c:v>235</c:v>
                </c:pt>
                <c:pt idx="23">
                  <c:v>244</c:v>
                </c:pt>
                <c:pt idx="24">
                  <c:v>252.5</c:v>
                </c:pt>
                <c:pt idx="25">
                  <c:v>261</c:v>
                </c:pt>
                <c:pt idx="26">
                  <c:v>263</c:v>
                </c:pt>
                <c:pt idx="27">
                  <c:v>271.5</c:v>
                </c:pt>
                <c:pt idx="28">
                  <c:v>277.5</c:v>
                </c:pt>
                <c:pt idx="29">
                  <c:v>285</c:v>
                </c:pt>
                <c:pt idx="30">
                  <c:v>292.5</c:v>
                </c:pt>
                <c:pt idx="31">
                  <c:v>297.5</c:v>
                </c:pt>
                <c:pt idx="32">
                  <c:v>301</c:v>
                </c:pt>
                <c:pt idx="33">
                  <c:v>303</c:v>
                </c:pt>
                <c:pt idx="34">
                  <c:v>305</c:v>
                </c:pt>
                <c:pt idx="35">
                  <c:v>308</c:v>
                </c:pt>
                <c:pt idx="36">
                  <c:v>312.5</c:v>
                </c:pt>
                <c:pt idx="37">
                  <c:v>317.5</c:v>
                </c:pt>
                <c:pt idx="38">
                  <c:v>322.5</c:v>
                </c:pt>
                <c:pt idx="39">
                  <c:v>327.5</c:v>
                </c:pt>
                <c:pt idx="40">
                  <c:v>332.5</c:v>
                </c:pt>
                <c:pt idx="41">
                  <c:v>339</c:v>
                </c:pt>
                <c:pt idx="42">
                  <c:v>346.5</c:v>
                </c:pt>
                <c:pt idx="43">
                  <c:v>352.5</c:v>
                </c:pt>
                <c:pt idx="44">
                  <c:v>362.5</c:v>
                </c:pt>
                <c:pt idx="45">
                  <c:v>366.5</c:v>
                </c:pt>
                <c:pt idx="46">
                  <c:v>369.5</c:v>
                </c:pt>
                <c:pt idx="47">
                  <c:v>375.5</c:v>
                </c:pt>
                <c:pt idx="48">
                  <c:v>381.5</c:v>
                </c:pt>
                <c:pt idx="49">
                  <c:v>384.5</c:v>
                </c:pt>
                <c:pt idx="50">
                  <c:v>388</c:v>
                </c:pt>
                <c:pt idx="51">
                  <c:v>391.5</c:v>
                </c:pt>
                <c:pt idx="52">
                  <c:v>397.5</c:v>
                </c:pt>
                <c:pt idx="53">
                  <c:v>404</c:v>
                </c:pt>
                <c:pt idx="54">
                  <c:v>414</c:v>
                </c:pt>
                <c:pt idx="55">
                  <c:v>418</c:v>
                </c:pt>
                <c:pt idx="56">
                  <c:v>421.5</c:v>
                </c:pt>
                <c:pt idx="57">
                  <c:v>424.5</c:v>
                </c:pt>
                <c:pt idx="58">
                  <c:v>428</c:v>
                </c:pt>
                <c:pt idx="59">
                  <c:v>432.5</c:v>
                </c:pt>
                <c:pt idx="60">
                  <c:v>437.5</c:v>
                </c:pt>
                <c:pt idx="61">
                  <c:v>442.5</c:v>
                </c:pt>
                <c:pt idx="62">
                  <c:v>447.5</c:v>
                </c:pt>
                <c:pt idx="63">
                  <c:v>452.5</c:v>
                </c:pt>
                <c:pt idx="64">
                  <c:v>457.5</c:v>
                </c:pt>
                <c:pt idx="65">
                  <c:v>461</c:v>
                </c:pt>
                <c:pt idx="66">
                  <c:v>463.5</c:v>
                </c:pt>
                <c:pt idx="67">
                  <c:v>467.5</c:v>
                </c:pt>
                <c:pt idx="68">
                  <c:v>472.5</c:v>
                </c:pt>
                <c:pt idx="69">
                  <c:v>476</c:v>
                </c:pt>
                <c:pt idx="70">
                  <c:v>478.5</c:v>
                </c:pt>
                <c:pt idx="71">
                  <c:v>481.5</c:v>
                </c:pt>
                <c:pt idx="72">
                  <c:v>484</c:v>
                </c:pt>
                <c:pt idx="73">
                  <c:v>487</c:v>
                </c:pt>
                <c:pt idx="74">
                  <c:v>490</c:v>
                </c:pt>
                <c:pt idx="75">
                  <c:v>492</c:v>
                </c:pt>
                <c:pt idx="76">
                  <c:v>494</c:v>
                </c:pt>
                <c:pt idx="77">
                  <c:v>497.5</c:v>
                </c:pt>
                <c:pt idx="78">
                  <c:v>502.5</c:v>
                </c:pt>
                <c:pt idx="79">
                  <c:v>508</c:v>
                </c:pt>
                <c:pt idx="80">
                  <c:v>512.5</c:v>
                </c:pt>
                <c:pt idx="81">
                  <c:v>517.5</c:v>
                </c:pt>
                <c:pt idx="82">
                  <c:v>521.5</c:v>
                </c:pt>
                <c:pt idx="83">
                  <c:v>524.5</c:v>
                </c:pt>
                <c:pt idx="84">
                  <c:v>528</c:v>
                </c:pt>
                <c:pt idx="85">
                  <c:v>531</c:v>
                </c:pt>
                <c:pt idx="86">
                  <c:v>535</c:v>
                </c:pt>
                <c:pt idx="87">
                  <c:v>539</c:v>
                </c:pt>
                <c:pt idx="88">
                  <c:v>541</c:v>
                </c:pt>
                <c:pt idx="89">
                  <c:v>543</c:v>
                </c:pt>
                <c:pt idx="90">
                  <c:v>545</c:v>
                </c:pt>
                <c:pt idx="91">
                  <c:v>547</c:v>
                </c:pt>
                <c:pt idx="92">
                  <c:v>549</c:v>
                </c:pt>
                <c:pt idx="93">
                  <c:v>552.5</c:v>
                </c:pt>
                <c:pt idx="94">
                  <c:v>557.5</c:v>
                </c:pt>
                <c:pt idx="95">
                  <c:v>561</c:v>
                </c:pt>
                <c:pt idx="96">
                  <c:v>563</c:v>
                </c:pt>
                <c:pt idx="97">
                  <c:v>565</c:v>
                </c:pt>
                <c:pt idx="98">
                  <c:v>567</c:v>
                </c:pt>
                <c:pt idx="99">
                  <c:v>569</c:v>
                </c:pt>
                <c:pt idx="100">
                  <c:v>572.5</c:v>
                </c:pt>
                <c:pt idx="101">
                  <c:v>577.5</c:v>
                </c:pt>
                <c:pt idx="102">
                  <c:v>582.5</c:v>
                </c:pt>
                <c:pt idx="103">
                  <c:v>587.5</c:v>
                </c:pt>
                <c:pt idx="104">
                  <c:v>605</c:v>
                </c:pt>
                <c:pt idx="105">
                  <c:v>615</c:v>
                </c:pt>
                <c:pt idx="106">
                  <c:v>625</c:v>
                </c:pt>
                <c:pt idx="107">
                  <c:v>635</c:v>
                </c:pt>
                <c:pt idx="108">
                  <c:v>645</c:v>
                </c:pt>
                <c:pt idx="109">
                  <c:v>655</c:v>
                </c:pt>
                <c:pt idx="110">
                  <c:v>665</c:v>
                </c:pt>
                <c:pt idx="111">
                  <c:v>675</c:v>
                </c:pt>
                <c:pt idx="112">
                  <c:v>685</c:v>
                </c:pt>
                <c:pt idx="113">
                  <c:v>695</c:v>
                </c:pt>
                <c:pt idx="114">
                  <c:v>705</c:v>
                </c:pt>
                <c:pt idx="115">
                  <c:v>715</c:v>
                </c:pt>
                <c:pt idx="116">
                  <c:v>725</c:v>
                </c:pt>
                <c:pt idx="117">
                  <c:v>735</c:v>
                </c:pt>
                <c:pt idx="118">
                  <c:v>745</c:v>
                </c:pt>
                <c:pt idx="119">
                  <c:v>755</c:v>
                </c:pt>
                <c:pt idx="120">
                  <c:v>765</c:v>
                </c:pt>
                <c:pt idx="121">
                  <c:v>775</c:v>
                </c:pt>
                <c:pt idx="122">
                  <c:v>785</c:v>
                </c:pt>
                <c:pt idx="123">
                  <c:v>795</c:v>
                </c:pt>
                <c:pt idx="124">
                  <c:v>805</c:v>
                </c:pt>
                <c:pt idx="125">
                  <c:v>815</c:v>
                </c:pt>
                <c:pt idx="126">
                  <c:v>825</c:v>
                </c:pt>
                <c:pt idx="127">
                  <c:v>835</c:v>
                </c:pt>
                <c:pt idx="128">
                  <c:v>850</c:v>
                </c:pt>
                <c:pt idx="129">
                  <c:v>851.5</c:v>
                </c:pt>
                <c:pt idx="130">
                  <c:v>856.5</c:v>
                </c:pt>
                <c:pt idx="131">
                  <c:v>862</c:v>
                </c:pt>
                <c:pt idx="132">
                  <c:v>866</c:v>
                </c:pt>
                <c:pt idx="133">
                  <c:v>869.5</c:v>
                </c:pt>
                <c:pt idx="134">
                  <c:v>872.5</c:v>
                </c:pt>
                <c:pt idx="135">
                  <c:v>878</c:v>
                </c:pt>
                <c:pt idx="136">
                  <c:v>884</c:v>
                </c:pt>
                <c:pt idx="137">
                  <c:v>888</c:v>
                </c:pt>
                <c:pt idx="138">
                  <c:v>895</c:v>
                </c:pt>
                <c:pt idx="139">
                  <c:v>905</c:v>
                </c:pt>
                <c:pt idx="140">
                  <c:v>915</c:v>
                </c:pt>
                <c:pt idx="141">
                  <c:v>925</c:v>
                </c:pt>
                <c:pt idx="142">
                  <c:v>933.5</c:v>
                </c:pt>
                <c:pt idx="143">
                  <c:v>938.5</c:v>
                </c:pt>
                <c:pt idx="144">
                  <c:v>945</c:v>
                </c:pt>
                <c:pt idx="145">
                  <c:v>952</c:v>
                </c:pt>
                <c:pt idx="146">
                  <c:v>957</c:v>
                </c:pt>
                <c:pt idx="147">
                  <c:v>962.5</c:v>
                </c:pt>
                <c:pt idx="148">
                  <c:v>966</c:v>
                </c:pt>
                <c:pt idx="149">
                  <c:v>970</c:v>
                </c:pt>
                <c:pt idx="150">
                  <c:v>975.5</c:v>
                </c:pt>
                <c:pt idx="151">
                  <c:v>984</c:v>
                </c:pt>
                <c:pt idx="152">
                  <c:v>995</c:v>
                </c:pt>
                <c:pt idx="153">
                  <c:v>1008</c:v>
                </c:pt>
                <c:pt idx="154">
                  <c:v>1018</c:v>
                </c:pt>
                <c:pt idx="155">
                  <c:v>1025</c:v>
                </c:pt>
                <c:pt idx="156">
                  <c:v>1035</c:v>
                </c:pt>
                <c:pt idx="157">
                  <c:v>1045.5</c:v>
                </c:pt>
                <c:pt idx="158">
                  <c:v>1055.5</c:v>
                </c:pt>
                <c:pt idx="159">
                  <c:v>1065.5</c:v>
                </c:pt>
                <c:pt idx="160">
                  <c:v>1075.5</c:v>
                </c:pt>
                <c:pt idx="161">
                  <c:v>1085.5</c:v>
                </c:pt>
                <c:pt idx="162">
                  <c:v>1095.5</c:v>
                </c:pt>
                <c:pt idx="163">
                  <c:v>1105.5</c:v>
                </c:pt>
                <c:pt idx="164">
                  <c:v>1115.5</c:v>
                </c:pt>
                <c:pt idx="165">
                  <c:v>1125.5</c:v>
                </c:pt>
                <c:pt idx="166">
                  <c:v>1135.5</c:v>
                </c:pt>
                <c:pt idx="167">
                  <c:v>1145.5</c:v>
                </c:pt>
                <c:pt idx="168">
                  <c:v>1155.5</c:v>
                </c:pt>
                <c:pt idx="169">
                  <c:v>1165.5</c:v>
                </c:pt>
                <c:pt idx="170">
                  <c:v>1175.5</c:v>
                </c:pt>
                <c:pt idx="171">
                  <c:v>1185.5</c:v>
                </c:pt>
                <c:pt idx="172">
                  <c:v>1195.5</c:v>
                </c:pt>
                <c:pt idx="173">
                  <c:v>1205.5</c:v>
                </c:pt>
                <c:pt idx="174">
                  <c:v>1214</c:v>
                </c:pt>
                <c:pt idx="175">
                  <c:v>1219.5</c:v>
                </c:pt>
              </c:strCache>
            </c:strRef>
          </c:xVal>
          <c:yVal>
            <c:numRef>
              <c:f>'[1]Graphing (testing)'!$AT$2:$AT$177</c:f>
              <c:numCache>
                <c:formatCode>General</c:formatCode>
                <c:ptCount val="176"/>
                <c:pt idx="51">
                  <c:v>16.3957008847038</c:v>
                </c:pt>
                <c:pt idx="52">
                  <c:v>16.454886994423401</c:v>
                </c:pt>
                <c:pt idx="53">
                  <c:v>16.7437508754231</c:v>
                </c:pt>
                <c:pt idx="54">
                  <c:v>17.698277489199601</c:v>
                </c:pt>
                <c:pt idx="55">
                  <c:v>17.9912891291055</c:v>
                </c:pt>
                <c:pt idx="56">
                  <c:v>18.257728020753198</c:v>
                </c:pt>
                <c:pt idx="57">
                  <c:v>16.6276878454829</c:v>
                </c:pt>
                <c:pt idx="58">
                  <c:v>17.453877757397201</c:v>
                </c:pt>
                <c:pt idx="59">
                  <c:v>18.325460841122599</c:v>
                </c:pt>
                <c:pt idx="60">
                  <c:v>18.349921169625599</c:v>
                </c:pt>
                <c:pt idx="61">
                  <c:v>18.1871206977913</c:v>
                </c:pt>
                <c:pt idx="62">
                  <c:v>17.6448954568076</c:v>
                </c:pt>
                <c:pt idx="63">
                  <c:v>17.4611860802327</c:v>
                </c:pt>
                <c:pt idx="64">
                  <c:v>17.053523986475302</c:v>
                </c:pt>
                <c:pt idx="65">
                  <c:v>17.707459201962902</c:v>
                </c:pt>
                <c:pt idx="66">
                  <c:v>16.825408572613298</c:v>
                </c:pt>
                <c:pt idx="67">
                  <c:v>17.057439280039102</c:v>
                </c:pt>
                <c:pt idx="68">
                  <c:v>16.450608143888701</c:v>
                </c:pt>
                <c:pt idx="69">
                  <c:v>16.234082421005599</c:v>
                </c:pt>
                <c:pt idx="70">
                  <c:v>17.101903750439799</c:v>
                </c:pt>
                <c:pt idx="72">
                  <c:v>17.775455974689599</c:v>
                </c:pt>
                <c:pt idx="73">
                  <c:v>17.018535442161799</c:v>
                </c:pt>
                <c:pt idx="74">
                  <c:v>17.653934148927402</c:v>
                </c:pt>
                <c:pt idx="75">
                  <c:v>15.9953879285036</c:v>
                </c:pt>
                <c:pt idx="76">
                  <c:v>15.6283855397346</c:v>
                </c:pt>
                <c:pt idx="77">
                  <c:v>15.5762558695598</c:v>
                </c:pt>
                <c:pt idx="78">
                  <c:v>15.7873049466477</c:v>
                </c:pt>
                <c:pt idx="79">
                  <c:v>16.170154255624301</c:v>
                </c:pt>
                <c:pt idx="80">
                  <c:v>17.1923462826099</c:v>
                </c:pt>
                <c:pt idx="81">
                  <c:v>17.738173607338101</c:v>
                </c:pt>
                <c:pt idx="82">
                  <c:v>18.005834644554302</c:v>
                </c:pt>
                <c:pt idx="83">
                  <c:v>17.737308946827099</c:v>
                </c:pt>
                <c:pt idx="84">
                  <c:v>15.9897915272524</c:v>
                </c:pt>
                <c:pt idx="85">
                  <c:v>14.9604081741288</c:v>
                </c:pt>
                <c:pt idx="86">
                  <c:v>14.2188119602844</c:v>
                </c:pt>
                <c:pt idx="87">
                  <c:v>16.014158324145399</c:v>
                </c:pt>
                <c:pt idx="88">
                  <c:v>16.432034598401401</c:v>
                </c:pt>
                <c:pt idx="89">
                  <c:v>16.868772122647901</c:v>
                </c:pt>
                <c:pt idx="90">
                  <c:v>17.230518222040399</c:v>
                </c:pt>
                <c:pt idx="91">
                  <c:v>15.8309096376122</c:v>
                </c:pt>
                <c:pt idx="92">
                  <c:v>15.981776093023599</c:v>
                </c:pt>
                <c:pt idx="93">
                  <c:v>16.766632582301899</c:v>
                </c:pt>
                <c:pt idx="94">
                  <c:v>18.359440745479201</c:v>
                </c:pt>
                <c:pt idx="95">
                  <c:v>18.159044351525399</c:v>
                </c:pt>
                <c:pt idx="96">
                  <c:v>16.9119617808641</c:v>
                </c:pt>
                <c:pt idx="97">
                  <c:v>16.162098274513301</c:v>
                </c:pt>
                <c:pt idx="98">
                  <c:v>17.118300684150199</c:v>
                </c:pt>
                <c:pt idx="99">
                  <c:v>16.778586086804498</c:v>
                </c:pt>
                <c:pt idx="100">
                  <c:v>16.537470431516802</c:v>
                </c:pt>
                <c:pt idx="101">
                  <c:v>16.7912604979498</c:v>
                </c:pt>
                <c:pt idx="102">
                  <c:v>16.941465070359701</c:v>
                </c:pt>
                <c:pt idx="103">
                  <c:v>17.2830128167145</c:v>
                </c:pt>
                <c:pt idx="104">
                  <c:v>17.281760182079701</c:v>
                </c:pt>
                <c:pt idx="105">
                  <c:v>17.864975409262001</c:v>
                </c:pt>
                <c:pt idx="106">
                  <c:v>9.1624778973578795</c:v>
                </c:pt>
                <c:pt idx="107">
                  <c:v>16.682755289206298</c:v>
                </c:pt>
                <c:pt idx="108">
                  <c:v>17.688692455535399</c:v>
                </c:pt>
                <c:pt idx="109">
                  <c:v>17.888834142239698</c:v>
                </c:pt>
                <c:pt idx="110">
                  <c:v>16.973751543151899</c:v>
                </c:pt>
                <c:pt idx="111">
                  <c:v>22.807820739988401</c:v>
                </c:pt>
                <c:pt idx="112">
                  <c:v>25.335658313139898</c:v>
                </c:pt>
                <c:pt idx="113">
                  <c:v>24.417958458319799</c:v>
                </c:pt>
                <c:pt idx="114">
                  <c:v>32.397541964260199</c:v>
                </c:pt>
                <c:pt idx="115">
                  <c:v>33.748075281126802</c:v>
                </c:pt>
                <c:pt idx="116">
                  <c:v>30.2376406915212</c:v>
                </c:pt>
                <c:pt idx="117">
                  <c:v>35.433616359316197</c:v>
                </c:pt>
                <c:pt idx="118">
                  <c:v>30.708605030003799</c:v>
                </c:pt>
                <c:pt idx="119">
                  <c:v>29.677911541480299</c:v>
                </c:pt>
                <c:pt idx="120">
                  <c:v>31.5422132331623</c:v>
                </c:pt>
                <c:pt idx="121">
                  <c:v>28.727406959219</c:v>
                </c:pt>
                <c:pt idx="122">
                  <c:v>30.775195262652399</c:v>
                </c:pt>
                <c:pt idx="123">
                  <c:v>30.6476386858801</c:v>
                </c:pt>
                <c:pt idx="124">
                  <c:v>30.3132739695948</c:v>
                </c:pt>
                <c:pt idx="125">
                  <c:v>23.255471503231298</c:v>
                </c:pt>
                <c:pt idx="126">
                  <c:v>29.004153939037</c:v>
                </c:pt>
                <c:pt idx="127">
                  <c:v>25.9311896905601</c:v>
                </c:pt>
                <c:pt idx="128">
                  <c:v>24.382822320613599</c:v>
                </c:pt>
                <c:pt idx="129">
                  <c:v>21.825141835434302</c:v>
                </c:pt>
                <c:pt idx="130">
                  <c:v>20.423765977399</c:v>
                </c:pt>
                <c:pt idx="131">
                  <c:v>22.425700023331402</c:v>
                </c:pt>
                <c:pt idx="132">
                  <c:v>23.7147745348786</c:v>
                </c:pt>
                <c:pt idx="133">
                  <c:v>25.184669240866999</c:v>
                </c:pt>
                <c:pt idx="134">
                  <c:v>22.938764084748399</c:v>
                </c:pt>
                <c:pt idx="135">
                  <c:v>21.144736000919998</c:v>
                </c:pt>
                <c:pt idx="136">
                  <c:v>21.8548519450679</c:v>
                </c:pt>
                <c:pt idx="137">
                  <c:v>21.870994419086699</c:v>
                </c:pt>
                <c:pt idx="138">
                  <c:v>22.415512104953699</c:v>
                </c:pt>
                <c:pt idx="139">
                  <c:v>25.839757869396799</c:v>
                </c:pt>
                <c:pt idx="140">
                  <c:v>23.7998553066097</c:v>
                </c:pt>
                <c:pt idx="141">
                  <c:v>24.5833512492935</c:v>
                </c:pt>
                <c:pt idx="142">
                  <c:v>27.7221694212855</c:v>
                </c:pt>
                <c:pt idx="143">
                  <c:v>26.275818300023001</c:v>
                </c:pt>
                <c:pt idx="144">
                  <c:v>22.440341793269599</c:v>
                </c:pt>
                <c:pt idx="145">
                  <c:v>20.2438356475304</c:v>
                </c:pt>
                <c:pt idx="146">
                  <c:v>26.163002677298</c:v>
                </c:pt>
                <c:pt idx="147">
                  <c:v>26.545931799486201</c:v>
                </c:pt>
                <c:pt idx="148">
                  <c:v>23.2340519146696</c:v>
                </c:pt>
                <c:pt idx="149">
                  <c:v>22.519770477819499</c:v>
                </c:pt>
                <c:pt idx="150">
                  <c:v>21.674459720842702</c:v>
                </c:pt>
                <c:pt idx="151">
                  <c:v>22.658623552479401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D5-4916-A514-5105037EE4BD}"/>
            </c:ext>
          </c:extLst>
        </c:ser>
        <c:ser>
          <c:idx val="2"/>
          <c:order val="2"/>
          <c:tx>
            <c:strRef>
              <c:f>'[1]Graphing (testing)'!$AU$1</c:f>
              <c:strCache>
                <c:ptCount val="1"/>
                <c:pt idx="0">
                  <c:v>Pre-Maori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'[1]Graphing (testing)'!$AR$2:$AR$177</c:f>
              <c:strCache>
                <c:ptCount val="176"/>
                <c:pt idx="0">
                  <c:v>21</c:v>
                </c:pt>
                <c:pt idx="1">
                  <c:v>30</c:v>
                </c:pt>
                <c:pt idx="2">
                  <c:v>43</c:v>
                </c:pt>
                <c:pt idx="3">
                  <c:v>49</c:v>
                </c:pt>
                <c:pt idx="4">
                  <c:v>58.5</c:v>
                </c:pt>
                <c:pt idx="5">
                  <c:v>69.5</c:v>
                </c:pt>
                <c:pt idx="6">
                  <c:v>79</c:v>
                </c:pt>
                <c:pt idx="7">
                  <c:v>90.5</c:v>
                </c:pt>
                <c:pt idx="8">
                  <c:v>100</c:v>
                </c:pt>
                <c:pt idx="9">
                  <c:v>108.5</c:v>
                </c:pt>
                <c:pt idx="10">
                  <c:v>119</c:v>
                </c:pt>
                <c:pt idx="11">
                  <c:v>128.5</c:v>
                </c:pt>
                <c:pt idx="12">
                  <c:v>140</c:v>
                </c:pt>
                <c:pt idx="13">
                  <c:v>148.5</c:v>
                </c:pt>
                <c:pt idx="14">
                  <c:v>161</c:v>
                </c:pt>
                <c:pt idx="15">
                  <c:v>169.5</c:v>
                </c:pt>
                <c:pt idx="16">
                  <c:v>179</c:v>
                </c:pt>
                <c:pt idx="17">
                  <c:v>189</c:v>
                </c:pt>
                <c:pt idx="18">
                  <c:v>199.5</c:v>
                </c:pt>
                <c:pt idx="19">
                  <c:v>209</c:v>
                </c:pt>
                <c:pt idx="20">
                  <c:v>218.5</c:v>
                </c:pt>
                <c:pt idx="21">
                  <c:v>228.5</c:v>
                </c:pt>
                <c:pt idx="22">
                  <c:v>235</c:v>
                </c:pt>
                <c:pt idx="23">
                  <c:v>244</c:v>
                </c:pt>
                <c:pt idx="24">
                  <c:v>252.5</c:v>
                </c:pt>
                <c:pt idx="25">
                  <c:v>261</c:v>
                </c:pt>
                <c:pt idx="26">
                  <c:v>263</c:v>
                </c:pt>
                <c:pt idx="27">
                  <c:v>271.5</c:v>
                </c:pt>
                <c:pt idx="28">
                  <c:v>277.5</c:v>
                </c:pt>
                <c:pt idx="29">
                  <c:v>285</c:v>
                </c:pt>
                <c:pt idx="30">
                  <c:v>292.5</c:v>
                </c:pt>
                <c:pt idx="31">
                  <c:v>297.5</c:v>
                </c:pt>
                <c:pt idx="32">
                  <c:v>301</c:v>
                </c:pt>
                <c:pt idx="33">
                  <c:v>303</c:v>
                </c:pt>
                <c:pt idx="34">
                  <c:v>305</c:v>
                </c:pt>
                <c:pt idx="35">
                  <c:v>308</c:v>
                </c:pt>
                <c:pt idx="36">
                  <c:v>312.5</c:v>
                </c:pt>
                <c:pt idx="37">
                  <c:v>317.5</c:v>
                </c:pt>
                <c:pt idx="38">
                  <c:v>322.5</c:v>
                </c:pt>
                <c:pt idx="39">
                  <c:v>327.5</c:v>
                </c:pt>
                <c:pt idx="40">
                  <c:v>332.5</c:v>
                </c:pt>
                <c:pt idx="41">
                  <c:v>339</c:v>
                </c:pt>
                <c:pt idx="42">
                  <c:v>346.5</c:v>
                </c:pt>
                <c:pt idx="43">
                  <c:v>352.5</c:v>
                </c:pt>
                <c:pt idx="44">
                  <c:v>362.5</c:v>
                </c:pt>
                <c:pt idx="45">
                  <c:v>366.5</c:v>
                </c:pt>
                <c:pt idx="46">
                  <c:v>369.5</c:v>
                </c:pt>
                <c:pt idx="47">
                  <c:v>375.5</c:v>
                </c:pt>
                <c:pt idx="48">
                  <c:v>381.5</c:v>
                </c:pt>
                <c:pt idx="49">
                  <c:v>384.5</c:v>
                </c:pt>
                <c:pt idx="50">
                  <c:v>388</c:v>
                </c:pt>
                <c:pt idx="51">
                  <c:v>391.5</c:v>
                </c:pt>
                <c:pt idx="52">
                  <c:v>397.5</c:v>
                </c:pt>
                <c:pt idx="53">
                  <c:v>404</c:v>
                </c:pt>
                <c:pt idx="54">
                  <c:v>414</c:v>
                </c:pt>
                <c:pt idx="55">
                  <c:v>418</c:v>
                </c:pt>
                <c:pt idx="56">
                  <c:v>421.5</c:v>
                </c:pt>
                <c:pt idx="57">
                  <c:v>424.5</c:v>
                </c:pt>
                <c:pt idx="58">
                  <c:v>428</c:v>
                </c:pt>
                <c:pt idx="59">
                  <c:v>432.5</c:v>
                </c:pt>
                <c:pt idx="60">
                  <c:v>437.5</c:v>
                </c:pt>
                <c:pt idx="61">
                  <c:v>442.5</c:v>
                </c:pt>
                <c:pt idx="62">
                  <c:v>447.5</c:v>
                </c:pt>
                <c:pt idx="63">
                  <c:v>452.5</c:v>
                </c:pt>
                <c:pt idx="64">
                  <c:v>457.5</c:v>
                </c:pt>
                <c:pt idx="65">
                  <c:v>461</c:v>
                </c:pt>
                <c:pt idx="66">
                  <c:v>463.5</c:v>
                </c:pt>
                <c:pt idx="67">
                  <c:v>467.5</c:v>
                </c:pt>
                <c:pt idx="68">
                  <c:v>472.5</c:v>
                </c:pt>
                <c:pt idx="69">
                  <c:v>476</c:v>
                </c:pt>
                <c:pt idx="70">
                  <c:v>478.5</c:v>
                </c:pt>
                <c:pt idx="71">
                  <c:v>481.5</c:v>
                </c:pt>
                <c:pt idx="72">
                  <c:v>484</c:v>
                </c:pt>
                <c:pt idx="73">
                  <c:v>487</c:v>
                </c:pt>
                <c:pt idx="74">
                  <c:v>490</c:v>
                </c:pt>
                <c:pt idx="75">
                  <c:v>492</c:v>
                </c:pt>
                <c:pt idx="76">
                  <c:v>494</c:v>
                </c:pt>
                <c:pt idx="77">
                  <c:v>497.5</c:v>
                </c:pt>
                <c:pt idx="78">
                  <c:v>502.5</c:v>
                </c:pt>
                <c:pt idx="79">
                  <c:v>508</c:v>
                </c:pt>
                <c:pt idx="80">
                  <c:v>512.5</c:v>
                </c:pt>
                <c:pt idx="81">
                  <c:v>517.5</c:v>
                </c:pt>
                <c:pt idx="82">
                  <c:v>521.5</c:v>
                </c:pt>
                <c:pt idx="83">
                  <c:v>524.5</c:v>
                </c:pt>
                <c:pt idx="84">
                  <c:v>528</c:v>
                </c:pt>
                <c:pt idx="85">
                  <c:v>531</c:v>
                </c:pt>
                <c:pt idx="86">
                  <c:v>535</c:v>
                </c:pt>
                <c:pt idx="87">
                  <c:v>539</c:v>
                </c:pt>
                <c:pt idx="88">
                  <c:v>541</c:v>
                </c:pt>
                <c:pt idx="89">
                  <c:v>543</c:v>
                </c:pt>
                <c:pt idx="90">
                  <c:v>545</c:v>
                </c:pt>
                <c:pt idx="91">
                  <c:v>547</c:v>
                </c:pt>
                <c:pt idx="92">
                  <c:v>549</c:v>
                </c:pt>
                <c:pt idx="93">
                  <c:v>552.5</c:v>
                </c:pt>
                <c:pt idx="94">
                  <c:v>557.5</c:v>
                </c:pt>
                <c:pt idx="95">
                  <c:v>561</c:v>
                </c:pt>
                <c:pt idx="96">
                  <c:v>563</c:v>
                </c:pt>
                <c:pt idx="97">
                  <c:v>565</c:v>
                </c:pt>
                <c:pt idx="98">
                  <c:v>567</c:v>
                </c:pt>
                <c:pt idx="99">
                  <c:v>569</c:v>
                </c:pt>
                <c:pt idx="100">
                  <c:v>572.5</c:v>
                </c:pt>
                <c:pt idx="101">
                  <c:v>577.5</c:v>
                </c:pt>
                <c:pt idx="102">
                  <c:v>582.5</c:v>
                </c:pt>
                <c:pt idx="103">
                  <c:v>587.5</c:v>
                </c:pt>
                <c:pt idx="104">
                  <c:v>605</c:v>
                </c:pt>
                <c:pt idx="105">
                  <c:v>615</c:v>
                </c:pt>
                <c:pt idx="106">
                  <c:v>625</c:v>
                </c:pt>
                <c:pt idx="107">
                  <c:v>635</c:v>
                </c:pt>
                <c:pt idx="108">
                  <c:v>645</c:v>
                </c:pt>
                <c:pt idx="109">
                  <c:v>655</c:v>
                </c:pt>
                <c:pt idx="110">
                  <c:v>665</c:v>
                </c:pt>
                <c:pt idx="111">
                  <c:v>675</c:v>
                </c:pt>
                <c:pt idx="112">
                  <c:v>685</c:v>
                </c:pt>
                <c:pt idx="113">
                  <c:v>695</c:v>
                </c:pt>
                <c:pt idx="114">
                  <c:v>705</c:v>
                </c:pt>
                <c:pt idx="115">
                  <c:v>715</c:v>
                </c:pt>
                <c:pt idx="116">
                  <c:v>725</c:v>
                </c:pt>
                <c:pt idx="117">
                  <c:v>735</c:v>
                </c:pt>
                <c:pt idx="118">
                  <c:v>745</c:v>
                </c:pt>
                <c:pt idx="119">
                  <c:v>755</c:v>
                </c:pt>
                <c:pt idx="120">
                  <c:v>765</c:v>
                </c:pt>
                <c:pt idx="121">
                  <c:v>775</c:v>
                </c:pt>
                <c:pt idx="122">
                  <c:v>785</c:v>
                </c:pt>
                <c:pt idx="123">
                  <c:v>795</c:v>
                </c:pt>
                <c:pt idx="124">
                  <c:v>805</c:v>
                </c:pt>
                <c:pt idx="125">
                  <c:v>815</c:v>
                </c:pt>
                <c:pt idx="126">
                  <c:v>825</c:v>
                </c:pt>
                <c:pt idx="127">
                  <c:v>835</c:v>
                </c:pt>
                <c:pt idx="128">
                  <c:v>850</c:v>
                </c:pt>
                <c:pt idx="129">
                  <c:v>851.5</c:v>
                </c:pt>
                <c:pt idx="130">
                  <c:v>856.5</c:v>
                </c:pt>
                <c:pt idx="131">
                  <c:v>862</c:v>
                </c:pt>
                <c:pt idx="132">
                  <c:v>866</c:v>
                </c:pt>
                <c:pt idx="133">
                  <c:v>869.5</c:v>
                </c:pt>
                <c:pt idx="134">
                  <c:v>872.5</c:v>
                </c:pt>
                <c:pt idx="135">
                  <c:v>878</c:v>
                </c:pt>
                <c:pt idx="136">
                  <c:v>884</c:v>
                </c:pt>
                <c:pt idx="137">
                  <c:v>888</c:v>
                </c:pt>
                <c:pt idx="138">
                  <c:v>895</c:v>
                </c:pt>
                <c:pt idx="139">
                  <c:v>905</c:v>
                </c:pt>
                <c:pt idx="140">
                  <c:v>915</c:v>
                </c:pt>
                <c:pt idx="141">
                  <c:v>925</c:v>
                </c:pt>
                <c:pt idx="142">
                  <c:v>933.5</c:v>
                </c:pt>
                <c:pt idx="143">
                  <c:v>938.5</c:v>
                </c:pt>
                <c:pt idx="144">
                  <c:v>945</c:v>
                </c:pt>
                <c:pt idx="145">
                  <c:v>952</c:v>
                </c:pt>
                <c:pt idx="146">
                  <c:v>957</c:v>
                </c:pt>
                <c:pt idx="147">
                  <c:v>962.5</c:v>
                </c:pt>
                <c:pt idx="148">
                  <c:v>966</c:v>
                </c:pt>
                <c:pt idx="149">
                  <c:v>970</c:v>
                </c:pt>
                <c:pt idx="150">
                  <c:v>975.5</c:v>
                </c:pt>
                <c:pt idx="151">
                  <c:v>984</c:v>
                </c:pt>
                <c:pt idx="152">
                  <c:v>995</c:v>
                </c:pt>
                <c:pt idx="153">
                  <c:v>1008</c:v>
                </c:pt>
                <c:pt idx="154">
                  <c:v>1018</c:v>
                </c:pt>
                <c:pt idx="155">
                  <c:v>1025</c:v>
                </c:pt>
                <c:pt idx="156">
                  <c:v>1035</c:v>
                </c:pt>
                <c:pt idx="157">
                  <c:v>1045.5</c:v>
                </c:pt>
                <c:pt idx="158">
                  <c:v>1055.5</c:v>
                </c:pt>
                <c:pt idx="159">
                  <c:v>1065.5</c:v>
                </c:pt>
                <c:pt idx="160">
                  <c:v>1075.5</c:v>
                </c:pt>
                <c:pt idx="161">
                  <c:v>1085.5</c:v>
                </c:pt>
                <c:pt idx="162">
                  <c:v>1095.5</c:v>
                </c:pt>
                <c:pt idx="163">
                  <c:v>1105.5</c:v>
                </c:pt>
                <c:pt idx="164">
                  <c:v>1115.5</c:v>
                </c:pt>
                <c:pt idx="165">
                  <c:v>1125.5</c:v>
                </c:pt>
                <c:pt idx="166">
                  <c:v>1135.5</c:v>
                </c:pt>
                <c:pt idx="167">
                  <c:v>1145.5</c:v>
                </c:pt>
                <c:pt idx="168">
                  <c:v>1155.5</c:v>
                </c:pt>
                <c:pt idx="169">
                  <c:v>1165.5</c:v>
                </c:pt>
                <c:pt idx="170">
                  <c:v>1175.5</c:v>
                </c:pt>
                <c:pt idx="171">
                  <c:v>1185.5</c:v>
                </c:pt>
                <c:pt idx="172">
                  <c:v>1195.5</c:v>
                </c:pt>
                <c:pt idx="173">
                  <c:v>1205.5</c:v>
                </c:pt>
                <c:pt idx="174">
                  <c:v>1214</c:v>
                </c:pt>
                <c:pt idx="175">
                  <c:v>1219.5</c:v>
                </c:pt>
              </c:strCache>
            </c:strRef>
          </c:xVal>
          <c:yVal>
            <c:numRef>
              <c:f>'[1]Graphing (testing)'!$AU$2:$AU$177</c:f>
              <c:numCache>
                <c:formatCode>General</c:formatCode>
                <c:ptCount val="176"/>
                <c:pt idx="152">
                  <c:v>24.405778022076401</c:v>
                </c:pt>
                <c:pt idx="153">
                  <c:v>25.6558797274553</c:v>
                </c:pt>
                <c:pt idx="154">
                  <c:v>30.944411706937299</c:v>
                </c:pt>
                <c:pt idx="155">
                  <c:v>22.463378330437301</c:v>
                </c:pt>
                <c:pt idx="156">
                  <c:v>22.8876108795967</c:v>
                </c:pt>
                <c:pt idx="157">
                  <c:v>28.373998431333</c:v>
                </c:pt>
                <c:pt idx="158">
                  <c:v>31.817065350673701</c:v>
                </c:pt>
                <c:pt idx="159">
                  <c:v>26.092082091729299</c:v>
                </c:pt>
                <c:pt idx="160">
                  <c:v>22.6500268327468</c:v>
                </c:pt>
                <c:pt idx="161">
                  <c:v>24.967764084486099</c:v>
                </c:pt>
                <c:pt idx="162">
                  <c:v>23.221284194452899</c:v>
                </c:pt>
                <c:pt idx="163">
                  <c:v>23.428100200372</c:v>
                </c:pt>
                <c:pt idx="164">
                  <c:v>26.161404319970501</c:v>
                </c:pt>
                <c:pt idx="165">
                  <c:v>20.912592325967399</c:v>
                </c:pt>
                <c:pt idx="166">
                  <c:v>26.531245295093001</c:v>
                </c:pt>
                <c:pt idx="167">
                  <c:v>30.0968294411906</c:v>
                </c:pt>
                <c:pt idx="168">
                  <c:v>31.3845241727815</c:v>
                </c:pt>
                <c:pt idx="169">
                  <c:v>34.2170365706993</c:v>
                </c:pt>
                <c:pt idx="170">
                  <c:v>31.428863388390099</c:v>
                </c:pt>
                <c:pt idx="171">
                  <c:v>36.042369601176603</c:v>
                </c:pt>
                <c:pt idx="172">
                  <c:v>36.4168033904621</c:v>
                </c:pt>
                <c:pt idx="173">
                  <c:v>36.650619035015403</c:v>
                </c:pt>
                <c:pt idx="174">
                  <c:v>37.096352002279303</c:v>
                </c:pt>
                <c:pt idx="175">
                  <c:v>37.201112525182403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D5-4916-A514-5105037EE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243056"/>
        <c:axId val="345243536"/>
      </c:scatterChart>
      <c:valAx>
        <c:axId val="34524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Depth</a:t>
                </a:r>
                <a:r>
                  <a:rPr lang="en-NZ" baseline="0"/>
                  <a:t> (mm)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43536"/>
        <c:crosses val="autoZero"/>
        <c:crossBetween val="midCat"/>
      </c:valAx>
      <c:valAx>
        <c:axId val="34524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Mean</a:t>
                </a:r>
                <a:r>
                  <a:rPr lang="en-NZ" baseline="0"/>
                  <a:t> g</a:t>
                </a:r>
                <a:r>
                  <a:rPr lang="en-NZ"/>
                  <a:t>rain</a:t>
                </a:r>
                <a:r>
                  <a:rPr lang="en-NZ" baseline="0"/>
                  <a:t> size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43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594452</xdr:colOff>
      <xdr:row>1</xdr:row>
      <xdr:rowOff>120494</xdr:rowOff>
    </xdr:from>
    <xdr:to>
      <xdr:col>39</xdr:col>
      <xdr:colOff>0</xdr:colOff>
      <xdr:row>34</xdr:row>
      <xdr:rowOff>101189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31CEF87A-73F6-419C-8000-B8BE4B76F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9896</xdr:colOff>
      <xdr:row>67</xdr:row>
      <xdr:rowOff>11339</xdr:rowOff>
    </xdr:from>
    <xdr:to>
      <xdr:col>37</xdr:col>
      <xdr:colOff>510267</xdr:colOff>
      <xdr:row>94</xdr:row>
      <xdr:rowOff>9897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231C8F-665B-4950-94E3-63FD48FFA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9896</xdr:colOff>
      <xdr:row>35</xdr:row>
      <xdr:rowOff>167610</xdr:rowOff>
    </xdr:from>
    <xdr:to>
      <xdr:col>37</xdr:col>
      <xdr:colOff>537308</xdr:colOff>
      <xdr:row>67</xdr:row>
      <xdr:rowOff>49481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63CE07-1479-4672-8F26-707BD934B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tagouni-my.sharepoint.com/personal/matco192_student_otago_ac_nz/Documents/Desktop/W1M17_Datashare.xlsx" TargetMode="External"/><Relationship Id="rId1" Type="http://schemas.openxmlformats.org/officeDocument/2006/relationships/externalLinkPath" Target="https://otagouni-my.sharepoint.com/personal/matco192_student_otago_ac_nz/Documents/Desktop/W1M17_Datasha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Data"/>
      <sheetName val="Graphing (testing)"/>
      <sheetName val="Sheet2"/>
      <sheetName val="W1M17 Master Sizer Data"/>
      <sheetName val="test"/>
      <sheetName val="Sheet3"/>
      <sheetName val="Sheet3 (2)"/>
      <sheetName val="Sheet5"/>
    </sheetNames>
    <sheetDataSet>
      <sheetData sheetId="0" refreshError="1"/>
      <sheetData sheetId="1">
        <row r="1">
          <cell r="AP1" t="str">
            <v>Magnetic Susceptibility</v>
          </cell>
          <cell r="AS1" t="str">
            <v>Modern</v>
          </cell>
          <cell r="AT1" t="str">
            <v>Pre-European</v>
          </cell>
          <cell r="AU1" t="str">
            <v>Pre-Maori</v>
          </cell>
        </row>
        <row r="2">
          <cell r="J2" t="str">
            <v>Sorting</v>
          </cell>
          <cell r="K2" t="str">
            <v>Skewness</v>
          </cell>
          <cell r="L2" t="str">
            <v>Kurtosis</v>
          </cell>
          <cell r="AO2">
            <v>35</v>
          </cell>
          <cell r="AP2">
            <v>17.724</v>
          </cell>
          <cell r="AR2">
            <v>21</v>
          </cell>
          <cell r="AS2">
            <v>18.7335153936476</v>
          </cell>
        </row>
        <row r="3">
          <cell r="D3">
            <v>21</v>
          </cell>
          <cell r="I3">
            <v>18.7335153936476</v>
          </cell>
          <cell r="J3">
            <v>2.2390071462300098</v>
          </cell>
          <cell r="K3">
            <v>-8.6735008121244406E-2</v>
          </cell>
          <cell r="L3">
            <v>1.0022412549700901</v>
          </cell>
          <cell r="M3">
            <v>7.7099000000000002</v>
          </cell>
          <cell r="AO3">
            <v>40</v>
          </cell>
          <cell r="AP3">
            <v>17.065999999999999</v>
          </cell>
          <cell r="AR3">
            <v>30</v>
          </cell>
          <cell r="AS3">
            <v>18.8993612138174</v>
          </cell>
        </row>
        <row r="4">
          <cell r="D4">
            <v>30</v>
          </cell>
          <cell r="I4">
            <v>18.8993612138174</v>
          </cell>
          <cell r="J4">
            <v>2.2181173431859298</v>
          </cell>
          <cell r="K4">
            <v>-9.8219004818876701E-2</v>
          </cell>
          <cell r="L4">
            <v>1.00536363127392</v>
          </cell>
          <cell r="M4">
            <v>9.0305</v>
          </cell>
          <cell r="AO4">
            <v>45</v>
          </cell>
          <cell r="AP4">
            <v>17.529</v>
          </cell>
          <cell r="AR4">
            <v>43</v>
          </cell>
          <cell r="AS4">
            <v>16.707771934454598</v>
          </cell>
        </row>
        <row r="5">
          <cell r="D5">
            <v>43</v>
          </cell>
          <cell r="I5">
            <v>16.707771934454598</v>
          </cell>
          <cell r="J5">
            <v>2.37037687661411</v>
          </cell>
          <cell r="K5">
            <v>-9.1726697655726303E-2</v>
          </cell>
          <cell r="L5">
            <v>0.99045751353044398</v>
          </cell>
          <cell r="M5">
            <v>8.9145000000000003</v>
          </cell>
          <cell r="AO5">
            <v>50</v>
          </cell>
          <cell r="AP5">
            <v>17.856999999999999</v>
          </cell>
          <cell r="AR5">
            <v>49</v>
          </cell>
          <cell r="AS5">
            <v>16.614103688470198</v>
          </cell>
        </row>
        <row r="6">
          <cell r="D6">
            <v>49</v>
          </cell>
          <cell r="I6">
            <v>16.614103688470198</v>
          </cell>
          <cell r="J6">
            <v>2.3284257118607901</v>
          </cell>
          <cell r="K6">
            <v>-9.0137783984584802E-2</v>
          </cell>
          <cell r="L6">
            <v>0.99443457635506904</v>
          </cell>
          <cell r="M6">
            <v>10.451000000000001</v>
          </cell>
          <cell r="AO6">
            <v>55</v>
          </cell>
          <cell r="AP6">
            <v>18.39</v>
          </cell>
          <cell r="AR6">
            <v>58.5</v>
          </cell>
          <cell r="AS6">
            <v>17.600297753157101</v>
          </cell>
        </row>
        <row r="7">
          <cell r="D7">
            <v>58.5</v>
          </cell>
          <cell r="I7">
            <v>17.600297753157101</v>
          </cell>
          <cell r="J7">
            <v>2.4378083727308102</v>
          </cell>
          <cell r="K7">
            <v>-8.4709258409008004E-2</v>
          </cell>
          <cell r="L7">
            <v>0.98910845821021498</v>
          </cell>
          <cell r="M7">
            <v>8.9504000000000001</v>
          </cell>
          <cell r="AO7">
            <v>60</v>
          </cell>
          <cell r="AP7">
            <v>18.648</v>
          </cell>
          <cell r="AR7">
            <v>69.5</v>
          </cell>
          <cell r="AS7">
            <v>19.023804448800298</v>
          </cell>
        </row>
        <row r="8">
          <cell r="D8">
            <v>69.5</v>
          </cell>
          <cell r="I8">
            <v>19.023804448800298</v>
          </cell>
          <cell r="J8">
            <v>2.4426459832283101</v>
          </cell>
          <cell r="K8">
            <v>-6.8494468451504101E-2</v>
          </cell>
          <cell r="L8">
            <v>0.99931026799991596</v>
          </cell>
          <cell r="M8">
            <v>9.2109000000000005</v>
          </cell>
          <cell r="AO8">
            <v>65</v>
          </cell>
          <cell r="AP8">
            <v>19.312000000000001</v>
          </cell>
          <cell r="AR8">
            <v>79</v>
          </cell>
          <cell r="AS8">
            <v>16.631812132910699</v>
          </cell>
        </row>
        <row r="9">
          <cell r="D9">
            <v>79</v>
          </cell>
          <cell r="I9">
            <v>16.631812132910699</v>
          </cell>
          <cell r="J9">
            <v>2.2752129756868702</v>
          </cell>
          <cell r="K9">
            <v>-8.99431275448863E-2</v>
          </cell>
          <cell r="L9">
            <v>1.0092204406459799</v>
          </cell>
          <cell r="M9">
            <v>9.6591000000000005</v>
          </cell>
          <cell r="AO9">
            <v>70</v>
          </cell>
          <cell r="AP9">
            <v>19.645</v>
          </cell>
          <cell r="AR9">
            <v>90.5</v>
          </cell>
          <cell r="AS9">
            <v>17.318757436651001</v>
          </cell>
        </row>
        <row r="10">
          <cell r="D10">
            <v>90.5</v>
          </cell>
          <cell r="I10">
            <v>17.318757436651001</v>
          </cell>
          <cell r="J10">
            <v>2.43105571695863</v>
          </cell>
          <cell r="K10">
            <v>-5.9503354790283298E-2</v>
          </cell>
          <cell r="L10">
            <v>1.00520361561492</v>
          </cell>
          <cell r="M10">
            <v>9.1496999999999993</v>
          </cell>
          <cell r="AO10">
            <v>75</v>
          </cell>
          <cell r="AP10">
            <v>18.718</v>
          </cell>
          <cell r="AR10">
            <v>100</v>
          </cell>
          <cell r="AS10">
            <v>17.977122391566901</v>
          </cell>
        </row>
        <row r="11">
          <cell r="D11">
            <v>100</v>
          </cell>
          <cell r="I11">
            <v>17.977122391566901</v>
          </cell>
          <cell r="J11">
            <v>2.3728498731933101</v>
          </cell>
          <cell r="K11">
            <v>-6.4478678838163397E-2</v>
          </cell>
          <cell r="L11">
            <v>1.0006343922021299</v>
          </cell>
          <cell r="M11">
            <v>9.6885999999999992</v>
          </cell>
          <cell r="AO11">
            <v>80</v>
          </cell>
          <cell r="AP11">
            <v>18.12</v>
          </cell>
          <cell r="AR11">
            <v>108.5</v>
          </cell>
          <cell r="AS11">
            <v>18.832745529055899</v>
          </cell>
        </row>
        <row r="12">
          <cell r="D12">
            <v>108.5</v>
          </cell>
          <cell r="I12">
            <v>18.832745529055899</v>
          </cell>
          <cell r="J12">
            <v>2.2822595213955199</v>
          </cell>
          <cell r="K12">
            <v>-7.6714820153169397E-2</v>
          </cell>
          <cell r="L12">
            <v>0.99685016549227101</v>
          </cell>
          <cell r="M12">
            <v>10.914400000000001</v>
          </cell>
          <cell r="AO12">
            <v>85</v>
          </cell>
          <cell r="AP12">
            <v>19.577999999999999</v>
          </cell>
          <cell r="AR12">
            <v>119</v>
          </cell>
          <cell r="AS12">
            <v>17.575149062748299</v>
          </cell>
        </row>
        <row r="13">
          <cell r="D13">
            <v>119</v>
          </cell>
          <cell r="I13">
            <v>17.575149062748299</v>
          </cell>
          <cell r="J13">
            <v>2.3066443193034001</v>
          </cell>
          <cell r="K13">
            <v>-7.1582412367640499E-2</v>
          </cell>
          <cell r="L13">
            <v>1.00945467840223</v>
          </cell>
          <cell r="M13">
            <v>8.9461999999999993</v>
          </cell>
          <cell r="AO13">
            <v>90</v>
          </cell>
          <cell r="AP13">
            <v>19.843</v>
          </cell>
          <cell r="AR13">
            <v>128.5</v>
          </cell>
          <cell r="AS13">
            <v>16.577432169272601</v>
          </cell>
        </row>
        <row r="14">
          <cell r="D14">
            <v>128.5</v>
          </cell>
          <cell r="I14">
            <v>16.577432169272601</v>
          </cell>
          <cell r="J14">
            <v>2.1990086277921299</v>
          </cell>
          <cell r="K14">
            <v>-9.3163412144735294E-2</v>
          </cell>
          <cell r="L14">
            <v>1.0004540812318199</v>
          </cell>
          <cell r="M14">
            <v>9.3889999999999993</v>
          </cell>
          <cell r="AO14">
            <v>95</v>
          </cell>
          <cell r="AP14">
            <v>21.693999999999999</v>
          </cell>
          <cell r="AR14">
            <v>140</v>
          </cell>
          <cell r="AS14">
            <v>17.285767804450401</v>
          </cell>
        </row>
        <row r="15">
          <cell r="D15">
            <v>140</v>
          </cell>
          <cell r="I15">
            <v>17.285767804450401</v>
          </cell>
          <cell r="J15">
            <v>2.4450907490290401</v>
          </cell>
          <cell r="K15">
            <v>-7.9020533694505998E-2</v>
          </cell>
          <cell r="L15">
            <v>0.99943232567463702</v>
          </cell>
          <cell r="M15">
            <v>8.5960999999999999</v>
          </cell>
          <cell r="AO15">
            <v>100</v>
          </cell>
          <cell r="AP15">
            <v>20.436</v>
          </cell>
          <cell r="AR15">
            <v>148.5</v>
          </cell>
          <cell r="AS15">
            <v>17.846355005090601</v>
          </cell>
        </row>
        <row r="16">
          <cell r="D16">
            <v>148.5</v>
          </cell>
          <cell r="I16">
            <v>17.846355005090601</v>
          </cell>
          <cell r="J16">
            <v>2.5803132090273602</v>
          </cell>
          <cell r="K16">
            <v>-3.2600317288121801E-2</v>
          </cell>
          <cell r="L16">
            <v>1.0104788873581501</v>
          </cell>
          <cell r="M16">
            <v>8.3588000000000005</v>
          </cell>
          <cell r="AO16">
            <v>105</v>
          </cell>
          <cell r="AP16">
            <v>20.699000000000002</v>
          </cell>
          <cell r="AR16">
            <v>161</v>
          </cell>
          <cell r="AS16">
            <v>17.951953478879599</v>
          </cell>
        </row>
        <row r="17">
          <cell r="D17">
            <v>161</v>
          </cell>
          <cell r="I17">
            <v>17.951953478879599</v>
          </cell>
          <cell r="J17">
            <v>2.4236529512711402</v>
          </cell>
          <cell r="K17">
            <v>-5.4818498751992198E-2</v>
          </cell>
          <cell r="L17">
            <v>1.01170055832478</v>
          </cell>
          <cell r="M17">
            <v>9.2222000000000008</v>
          </cell>
          <cell r="AO17">
            <v>110</v>
          </cell>
          <cell r="AP17">
            <v>20.236999999999998</v>
          </cell>
          <cell r="AR17">
            <v>169.5</v>
          </cell>
          <cell r="AS17">
            <v>17.999076398155001</v>
          </cell>
        </row>
        <row r="18">
          <cell r="D18">
            <v>169.5</v>
          </cell>
          <cell r="I18">
            <v>17.999076398155001</v>
          </cell>
          <cell r="J18">
            <v>2.39370692361747</v>
          </cell>
          <cell r="K18">
            <v>-5.17706964738383E-2</v>
          </cell>
          <cell r="L18">
            <v>1.0191623274750601</v>
          </cell>
          <cell r="M18">
            <v>9.3114000000000008</v>
          </cell>
          <cell r="AO18">
            <v>115</v>
          </cell>
          <cell r="AP18">
            <v>20.506</v>
          </cell>
          <cell r="AR18">
            <v>179</v>
          </cell>
          <cell r="AS18">
            <v>16.9079786890644</v>
          </cell>
        </row>
        <row r="19">
          <cell r="D19">
            <v>179</v>
          </cell>
          <cell r="I19">
            <v>16.9079786890644</v>
          </cell>
          <cell r="J19">
            <v>2.2274609159752301</v>
          </cell>
          <cell r="K19">
            <v>-6.3481201291984202E-2</v>
          </cell>
          <cell r="L19">
            <v>1.0138282204169999</v>
          </cell>
          <cell r="M19">
            <v>11.0517</v>
          </cell>
          <cell r="AO19">
            <v>120</v>
          </cell>
          <cell r="AP19">
            <v>20.963000000000001</v>
          </cell>
          <cell r="AR19">
            <v>189</v>
          </cell>
          <cell r="AS19">
            <v>17.510073671674199</v>
          </cell>
        </row>
        <row r="20">
          <cell r="D20">
            <v>189</v>
          </cell>
          <cell r="I20">
            <v>17.510073671674199</v>
          </cell>
          <cell r="J20">
            <v>2.2643610047056</v>
          </cell>
          <cell r="K20">
            <v>-7.5268185649881206E-2</v>
          </cell>
          <cell r="L20">
            <v>1.01477236326517</v>
          </cell>
          <cell r="M20">
            <v>10.6897</v>
          </cell>
          <cell r="AO20">
            <v>125</v>
          </cell>
          <cell r="AP20">
            <v>20.306000000000001</v>
          </cell>
          <cell r="AR20">
            <v>199.5</v>
          </cell>
          <cell r="AS20">
            <v>18.181081929131501</v>
          </cell>
        </row>
        <row r="21">
          <cell r="D21">
            <v>199.5</v>
          </cell>
          <cell r="I21">
            <v>18.181081929131501</v>
          </cell>
          <cell r="J21">
            <v>2.1412764088268901</v>
          </cell>
          <cell r="K21">
            <v>-7.8645853944577293E-2</v>
          </cell>
          <cell r="L21">
            <v>1.01188890742208</v>
          </cell>
          <cell r="M21">
            <v>10.0845</v>
          </cell>
          <cell r="AO21">
            <v>130</v>
          </cell>
          <cell r="AP21">
            <v>20.239000000000001</v>
          </cell>
          <cell r="AR21">
            <v>209</v>
          </cell>
          <cell r="AS21">
            <v>17.927309772120999</v>
          </cell>
        </row>
        <row r="22">
          <cell r="D22">
            <v>209</v>
          </cell>
          <cell r="I22">
            <v>17.927309772120999</v>
          </cell>
          <cell r="J22">
            <v>2.26842895805683</v>
          </cell>
          <cell r="K22">
            <v>-8.9968749758798497E-2</v>
          </cell>
          <cell r="L22">
            <v>1.0026838263023099</v>
          </cell>
          <cell r="M22">
            <v>13.5007</v>
          </cell>
          <cell r="AO22">
            <v>135</v>
          </cell>
          <cell r="AP22">
            <v>18.451000000000001</v>
          </cell>
          <cell r="AR22">
            <v>218.5</v>
          </cell>
          <cell r="AS22">
            <v>26.018908805756801</v>
          </cell>
        </row>
        <row r="23">
          <cell r="D23">
            <v>218.5</v>
          </cell>
          <cell r="I23">
            <v>26.018908805756801</v>
          </cell>
          <cell r="J23">
            <v>2.3408288450599102</v>
          </cell>
          <cell r="K23">
            <v>-0.111345203340318</v>
          </cell>
          <cell r="L23">
            <v>0.99386140063475403</v>
          </cell>
          <cell r="M23">
            <v>10.170299999999999</v>
          </cell>
          <cell r="AO23">
            <v>140</v>
          </cell>
          <cell r="AP23">
            <v>19.64</v>
          </cell>
          <cell r="AR23">
            <v>228.5</v>
          </cell>
          <cell r="AS23">
            <v>26.955359620773699</v>
          </cell>
        </row>
        <row r="24">
          <cell r="D24">
            <v>228.5</v>
          </cell>
          <cell r="I24">
            <v>26.955359620773699</v>
          </cell>
          <cell r="J24">
            <v>2.2665469132248202</v>
          </cell>
          <cell r="K24">
            <v>-0.10019359653804601</v>
          </cell>
          <cell r="L24">
            <v>0.993692900528516</v>
          </cell>
          <cell r="M24">
            <v>13.704499999999999</v>
          </cell>
          <cell r="AO24">
            <v>145</v>
          </cell>
          <cell r="AP24">
            <v>22.221</v>
          </cell>
          <cell r="AR24">
            <v>235</v>
          </cell>
          <cell r="AS24">
            <v>28.3085349889237</v>
          </cell>
        </row>
        <row r="25">
          <cell r="D25">
            <v>235</v>
          </cell>
          <cell r="I25">
            <v>28.3085349889237</v>
          </cell>
          <cell r="J25">
            <v>2.2704508125829999</v>
          </cell>
          <cell r="K25">
            <v>-0.11519650862546001</v>
          </cell>
          <cell r="L25">
            <v>0.99732887219428701</v>
          </cell>
          <cell r="M25">
            <v>9.1252999999999993</v>
          </cell>
          <cell r="AO25">
            <v>150</v>
          </cell>
          <cell r="AP25">
            <v>21.161999999999999</v>
          </cell>
          <cell r="AR25">
            <v>244</v>
          </cell>
          <cell r="AS25">
            <v>23.7265676601303</v>
          </cell>
        </row>
        <row r="26">
          <cell r="D26">
            <v>244</v>
          </cell>
          <cell r="I26">
            <v>23.7265676601303</v>
          </cell>
          <cell r="J26">
            <v>2.3294562368165002</v>
          </cell>
          <cell r="K26">
            <v>-7.0245733705694799E-2</v>
          </cell>
          <cell r="L26">
            <v>1.0028338927798</v>
          </cell>
          <cell r="M26">
            <v>10.6632</v>
          </cell>
          <cell r="AO26">
            <v>155</v>
          </cell>
          <cell r="AP26">
            <v>22.283999999999999</v>
          </cell>
          <cell r="AR26">
            <v>252.5</v>
          </cell>
          <cell r="AS26">
            <v>18.567006671791201</v>
          </cell>
        </row>
        <row r="27">
          <cell r="D27">
            <v>252.5</v>
          </cell>
          <cell r="I27">
            <v>18.567006671791201</v>
          </cell>
          <cell r="J27">
            <v>2.2360608620371401</v>
          </cell>
          <cell r="K27">
            <v>-7.95946976113594E-2</v>
          </cell>
          <cell r="L27">
            <v>1.0143689499749799</v>
          </cell>
          <cell r="M27">
            <v>8.6212999999999997</v>
          </cell>
          <cell r="AO27">
            <v>160</v>
          </cell>
          <cell r="AP27">
            <v>23.012</v>
          </cell>
          <cell r="AR27">
            <v>261</v>
          </cell>
          <cell r="AS27">
            <v>17.761928229897102</v>
          </cell>
        </row>
        <row r="28">
          <cell r="D28">
            <v>261</v>
          </cell>
          <cell r="I28">
            <v>17.761928229897102</v>
          </cell>
          <cell r="J28">
            <v>2.5218204825830401</v>
          </cell>
          <cell r="K28">
            <v>-7.8695938404479304E-2</v>
          </cell>
          <cell r="L28">
            <v>0.98879169094366604</v>
          </cell>
          <cell r="M28">
            <v>8.6237999999999992</v>
          </cell>
          <cell r="AO28">
            <v>165</v>
          </cell>
          <cell r="AP28">
            <v>21.292000000000002</v>
          </cell>
          <cell r="AR28">
            <v>263</v>
          </cell>
          <cell r="AS28">
            <v>17.386548797664901</v>
          </cell>
        </row>
        <row r="29">
          <cell r="D29">
            <v>263</v>
          </cell>
          <cell r="I29">
            <v>17.386548797664901</v>
          </cell>
          <cell r="J29">
            <v>2.59628840562495</v>
          </cell>
          <cell r="K29">
            <v>-7.5749728090656901E-2</v>
          </cell>
          <cell r="L29">
            <v>0.98484696370193803</v>
          </cell>
          <cell r="M29">
            <v>8.7345000000000006</v>
          </cell>
          <cell r="AO29">
            <v>170</v>
          </cell>
          <cell r="AP29">
            <v>21.757000000000001</v>
          </cell>
          <cell r="AR29">
            <v>271.5</v>
          </cell>
          <cell r="AS29">
            <v>17.1135913166233</v>
          </cell>
        </row>
        <row r="30">
          <cell r="D30">
            <v>271.5</v>
          </cell>
          <cell r="I30">
            <v>17.1135913166233</v>
          </cell>
          <cell r="J30">
            <v>2.2851856528110002</v>
          </cell>
          <cell r="K30">
            <v>-6.1710682209617902E-2</v>
          </cell>
          <cell r="L30">
            <v>1.00629600880022</v>
          </cell>
          <cell r="M30">
            <v>9.6498000000000008</v>
          </cell>
          <cell r="AO30">
            <v>175</v>
          </cell>
          <cell r="AP30">
            <v>22.417999999999999</v>
          </cell>
          <cell r="AR30">
            <v>277.5</v>
          </cell>
          <cell r="AS30">
            <v>19.209360440614901</v>
          </cell>
        </row>
        <row r="31">
          <cell r="D31">
            <v>277.5</v>
          </cell>
          <cell r="I31">
            <v>19.209360440614901</v>
          </cell>
          <cell r="J31">
            <v>2.3278268148946402</v>
          </cell>
          <cell r="K31">
            <v>-7.9695229104658094E-2</v>
          </cell>
          <cell r="L31">
            <v>1.0182885035160001</v>
          </cell>
          <cell r="M31">
            <v>9.2571999999999992</v>
          </cell>
          <cell r="AO31">
            <v>180</v>
          </cell>
          <cell r="AP31">
            <v>21.23</v>
          </cell>
          <cell r="AR31">
            <v>285</v>
          </cell>
          <cell r="AS31">
            <v>17.835453808199698</v>
          </cell>
        </row>
        <row r="32">
          <cell r="D32">
            <v>285</v>
          </cell>
          <cell r="I32">
            <v>17.835453808199698</v>
          </cell>
          <cell r="J32">
            <v>2.4066392118497602</v>
          </cell>
          <cell r="K32">
            <v>-6.6107824894008196E-2</v>
          </cell>
          <cell r="L32">
            <v>1.02204361578598</v>
          </cell>
          <cell r="M32">
            <v>8.7111000000000001</v>
          </cell>
          <cell r="AO32">
            <v>185</v>
          </cell>
          <cell r="AP32">
            <v>21.033999999999999</v>
          </cell>
          <cell r="AR32">
            <v>292.5</v>
          </cell>
          <cell r="AS32">
            <v>16.8737598219336</v>
          </cell>
        </row>
        <row r="33">
          <cell r="D33">
            <v>292.5</v>
          </cell>
          <cell r="I33">
            <v>16.8737598219336</v>
          </cell>
          <cell r="J33">
            <v>2.5065541490858299</v>
          </cell>
          <cell r="K33">
            <v>-4.8258610043922998E-2</v>
          </cell>
          <cell r="L33">
            <v>1.0111634873556901</v>
          </cell>
          <cell r="M33">
            <v>8.5368999999999993</v>
          </cell>
          <cell r="AO33">
            <v>190</v>
          </cell>
          <cell r="AP33">
            <v>20.835000000000001</v>
          </cell>
          <cell r="AR33">
            <v>297.5</v>
          </cell>
          <cell r="AS33">
            <v>17.919794961969199</v>
          </cell>
        </row>
        <row r="34">
          <cell r="D34">
            <v>297.5</v>
          </cell>
          <cell r="I34">
            <v>17.919794961969199</v>
          </cell>
          <cell r="J34">
            <v>2.4517993699717602</v>
          </cell>
          <cell r="K34">
            <v>-3.7918701471741097E-2</v>
          </cell>
          <cell r="L34">
            <v>1.0461481347036099</v>
          </cell>
          <cell r="M34">
            <v>8.8086000000000002</v>
          </cell>
          <cell r="AO34">
            <v>195</v>
          </cell>
          <cell r="AP34">
            <v>22.088000000000001</v>
          </cell>
          <cell r="AR34">
            <v>301</v>
          </cell>
          <cell r="AS34">
            <v>16.365133790244801</v>
          </cell>
        </row>
        <row r="35">
          <cell r="D35">
            <v>301</v>
          </cell>
          <cell r="I35">
            <v>16.365133790244801</v>
          </cell>
          <cell r="J35">
            <v>2.4668971293855502</v>
          </cell>
          <cell r="K35">
            <v>-4.2948575767359901E-2</v>
          </cell>
          <cell r="L35">
            <v>1.0114777655566001</v>
          </cell>
          <cell r="M35">
            <v>9.1929999999999996</v>
          </cell>
          <cell r="AO35">
            <v>200</v>
          </cell>
          <cell r="AP35">
            <v>24.338999999999999</v>
          </cell>
          <cell r="AR35">
            <v>303</v>
          </cell>
          <cell r="AS35">
            <v>16.4739861998012</v>
          </cell>
        </row>
        <row r="36">
          <cell r="D36">
            <v>303</v>
          </cell>
          <cell r="I36">
            <v>16.4739861998012</v>
          </cell>
          <cell r="J36">
            <v>2.4849331094734999</v>
          </cell>
          <cell r="K36">
            <v>-3.58238858077062E-2</v>
          </cell>
          <cell r="L36">
            <v>1.0164831671897101</v>
          </cell>
          <cell r="M36">
            <v>10.214700000000001</v>
          </cell>
          <cell r="AO36">
            <v>205</v>
          </cell>
          <cell r="AP36">
            <v>24.407</v>
          </cell>
          <cell r="AR36">
            <v>305</v>
          </cell>
          <cell r="AS36">
            <v>16.541561485392101</v>
          </cell>
        </row>
        <row r="37">
          <cell r="D37">
            <v>305</v>
          </cell>
          <cell r="I37">
            <v>16.541561485392101</v>
          </cell>
          <cell r="J37">
            <v>2.4802326104720498</v>
          </cell>
          <cell r="K37">
            <v>-4.5679248523573801E-2</v>
          </cell>
          <cell r="L37">
            <v>1.01274876438547</v>
          </cell>
          <cell r="M37">
            <v>9.7715999999999994</v>
          </cell>
          <cell r="AO37">
            <v>210</v>
          </cell>
          <cell r="AP37">
            <v>23.876000000000001</v>
          </cell>
          <cell r="AR37">
            <v>308</v>
          </cell>
          <cell r="AS37">
            <v>16.449059750825299</v>
          </cell>
        </row>
        <row r="38">
          <cell r="D38">
            <v>308</v>
          </cell>
          <cell r="I38">
            <v>16.449059750825299</v>
          </cell>
          <cell r="J38">
            <v>2.4499611276926001</v>
          </cell>
          <cell r="K38">
            <v>-3.7999454214445498E-2</v>
          </cell>
          <cell r="L38">
            <v>1.0131103609471499</v>
          </cell>
          <cell r="M38">
            <v>10.1396</v>
          </cell>
          <cell r="AO38">
            <v>215</v>
          </cell>
          <cell r="AP38">
            <v>22.552</v>
          </cell>
          <cell r="AR38">
            <v>312.5</v>
          </cell>
          <cell r="AS38">
            <v>17.0722574413128</v>
          </cell>
        </row>
        <row r="39">
          <cell r="D39">
            <v>312.5</v>
          </cell>
          <cell r="I39">
            <v>17.0722574413128</v>
          </cell>
          <cell r="J39">
            <v>2.2391593031900001</v>
          </cell>
          <cell r="K39">
            <v>-4.2443737782741499E-2</v>
          </cell>
          <cell r="L39">
            <v>1.0111208646492</v>
          </cell>
          <cell r="M39">
            <v>10.236499999999999</v>
          </cell>
          <cell r="AO39">
            <v>220</v>
          </cell>
          <cell r="AP39">
            <v>23.806999999999999</v>
          </cell>
          <cell r="AR39">
            <v>317.5</v>
          </cell>
          <cell r="AS39">
            <v>18.081395551572701</v>
          </cell>
        </row>
        <row r="40">
          <cell r="D40">
            <v>317.5</v>
          </cell>
          <cell r="I40">
            <v>18.081395551572701</v>
          </cell>
          <cell r="J40">
            <v>2.24038993248625</v>
          </cell>
          <cell r="K40">
            <v>-9.3047047407035996E-2</v>
          </cell>
          <cell r="L40">
            <v>1.01175195568537</v>
          </cell>
          <cell r="M40">
            <v>10.541499999999999</v>
          </cell>
          <cell r="AO40">
            <v>225</v>
          </cell>
          <cell r="AP40">
            <v>18.056000000000001</v>
          </cell>
          <cell r="AR40">
            <v>322.5</v>
          </cell>
          <cell r="AS40">
            <v>17.9247475695886</v>
          </cell>
        </row>
        <row r="41">
          <cell r="D41">
            <v>322.5</v>
          </cell>
          <cell r="I41">
            <v>17.9247475695886</v>
          </cell>
          <cell r="J41">
            <v>2.9409043170345499</v>
          </cell>
          <cell r="K41">
            <v>-1.36445147806349E-2</v>
          </cell>
          <cell r="L41">
            <v>1.0120736023093</v>
          </cell>
          <cell r="M41">
            <v>10.3469</v>
          </cell>
          <cell r="AO41">
            <v>230</v>
          </cell>
          <cell r="AP41">
            <v>18.782</v>
          </cell>
          <cell r="AR41">
            <v>327.5</v>
          </cell>
          <cell r="AS41">
            <v>15.436732894972801</v>
          </cell>
        </row>
        <row r="42">
          <cell r="D42">
            <v>327.5</v>
          </cell>
          <cell r="I42">
            <v>15.436732894972801</v>
          </cell>
          <cell r="J42">
            <v>2.66053946387908</v>
          </cell>
          <cell r="K42">
            <v>-6.8318475142972998E-2</v>
          </cell>
          <cell r="L42">
            <v>0.95153757408058803</v>
          </cell>
          <cell r="M42">
            <v>8.3813999999999993</v>
          </cell>
          <cell r="AO42">
            <v>235</v>
          </cell>
          <cell r="AP42">
            <v>19.771999999999998</v>
          </cell>
          <cell r="AR42">
            <v>332.5</v>
          </cell>
          <cell r="AS42">
            <v>15.8515297647137</v>
          </cell>
        </row>
        <row r="43">
          <cell r="D43">
            <v>332.5</v>
          </cell>
          <cell r="I43">
            <v>15.8515297647137</v>
          </cell>
          <cell r="J43">
            <v>2.67529886711888</v>
          </cell>
          <cell r="K43">
            <v>-6.4198705874989603E-2</v>
          </cell>
          <cell r="L43">
            <v>0.95939884546548104</v>
          </cell>
          <cell r="M43">
            <v>8.6341999999999999</v>
          </cell>
          <cell r="AO43">
            <v>240</v>
          </cell>
          <cell r="AP43">
            <v>18.056999999999999</v>
          </cell>
          <cell r="AR43">
            <v>339</v>
          </cell>
          <cell r="AS43">
            <v>16.583759568014699</v>
          </cell>
        </row>
        <row r="44">
          <cell r="D44">
            <v>339</v>
          </cell>
          <cell r="I44">
            <v>16.583759568014699</v>
          </cell>
          <cell r="J44">
            <v>2.9098701770152702</v>
          </cell>
          <cell r="K44">
            <v>-1.9338864644017101E-2</v>
          </cell>
          <cell r="L44">
            <v>0.95387111711293404</v>
          </cell>
          <cell r="M44">
            <v>8.7824000000000009</v>
          </cell>
          <cell r="AO44">
            <v>245</v>
          </cell>
          <cell r="AP44">
            <v>18.056000000000001</v>
          </cell>
          <cell r="AR44">
            <v>346.5</v>
          </cell>
          <cell r="AS44">
            <v>16.612925409924401</v>
          </cell>
        </row>
        <row r="45">
          <cell r="D45">
            <v>346.5</v>
          </cell>
          <cell r="I45">
            <v>16.612925409924401</v>
          </cell>
          <cell r="J45">
            <v>2.7461037805296802</v>
          </cell>
          <cell r="K45">
            <v>-5.4802121538377199E-2</v>
          </cell>
          <cell r="L45">
            <v>0.95750376160041495</v>
          </cell>
          <cell r="M45">
            <v>8.4174000000000007</v>
          </cell>
          <cell r="AO45">
            <v>250</v>
          </cell>
          <cell r="AP45">
            <v>16.27</v>
          </cell>
          <cell r="AR45">
            <v>352.5</v>
          </cell>
          <cell r="AS45">
            <v>15.8974828916724</v>
          </cell>
        </row>
        <row r="46">
          <cell r="D46">
            <v>352.5</v>
          </cell>
          <cell r="I46">
            <v>15.8974828916724</v>
          </cell>
          <cell r="J46">
            <v>2.5733192601130401</v>
          </cell>
          <cell r="K46">
            <v>-6.3853679454542595E-2</v>
          </cell>
          <cell r="L46">
            <v>0.984884430365777</v>
          </cell>
          <cell r="M46">
            <v>8.7095000000000002</v>
          </cell>
          <cell r="AO46">
            <v>255</v>
          </cell>
          <cell r="AP46">
            <v>17.260000000000002</v>
          </cell>
          <cell r="AR46">
            <v>362.5</v>
          </cell>
          <cell r="AS46">
            <v>15.711580065143201</v>
          </cell>
        </row>
        <row r="47">
          <cell r="D47">
            <v>362.5</v>
          </cell>
          <cell r="I47">
            <v>15.711580065143201</v>
          </cell>
          <cell r="J47">
            <v>2.7149297785298399</v>
          </cell>
          <cell r="K47">
            <v>-4.3342130870615801E-2</v>
          </cell>
          <cell r="L47">
            <v>0.95600511795394905</v>
          </cell>
          <cell r="M47">
            <v>8.6585000000000001</v>
          </cell>
          <cell r="AO47">
            <v>260</v>
          </cell>
          <cell r="AP47">
            <v>20.565999999999999</v>
          </cell>
          <cell r="AR47">
            <v>366.5</v>
          </cell>
          <cell r="AS47">
            <v>16.5018926722027</v>
          </cell>
        </row>
        <row r="48">
          <cell r="D48">
            <v>366.5</v>
          </cell>
          <cell r="I48">
            <v>16.5018926722027</v>
          </cell>
          <cell r="J48">
            <v>2.6452460941292499</v>
          </cell>
          <cell r="K48">
            <v>-5.2252051022221399E-2</v>
          </cell>
          <cell r="L48">
            <v>0.97839046413389497</v>
          </cell>
          <cell r="M48">
            <v>6.6138000000000003</v>
          </cell>
          <cell r="AO48">
            <v>265</v>
          </cell>
          <cell r="AP48">
            <v>21.690999999999999</v>
          </cell>
          <cell r="AR48">
            <v>369.5</v>
          </cell>
          <cell r="AS48">
            <v>16.755152874798899</v>
          </cell>
        </row>
        <row r="49">
          <cell r="D49">
            <v>369.5</v>
          </cell>
          <cell r="I49">
            <v>16.755152874798899</v>
          </cell>
          <cell r="J49">
            <v>2.5263380451174702</v>
          </cell>
          <cell r="K49">
            <v>-6.8034457477024204E-2</v>
          </cell>
          <cell r="L49">
            <v>0.97838336114312996</v>
          </cell>
          <cell r="M49">
            <v>7.7596999999999996</v>
          </cell>
          <cell r="AO49">
            <v>270</v>
          </cell>
          <cell r="AP49">
            <v>21.759</v>
          </cell>
          <cell r="AR49">
            <v>375.5</v>
          </cell>
          <cell r="AS49">
            <v>17.115442564463098</v>
          </cell>
        </row>
        <row r="50">
          <cell r="D50">
            <v>375.5</v>
          </cell>
          <cell r="I50">
            <v>17.115442564463098</v>
          </cell>
          <cell r="J50">
            <v>2.67676978126023</v>
          </cell>
          <cell r="K50">
            <v>-5.6967376618064003E-2</v>
          </cell>
          <cell r="L50">
            <v>0.97192815576800395</v>
          </cell>
          <cell r="M50">
            <v>8.2583000000000002</v>
          </cell>
          <cell r="AO50">
            <v>275</v>
          </cell>
          <cell r="AP50">
            <v>20.236000000000001</v>
          </cell>
          <cell r="AR50">
            <v>381.5</v>
          </cell>
          <cell r="AS50">
            <v>17.3996114514133</v>
          </cell>
        </row>
        <row r="51">
          <cell r="D51">
            <v>381.5</v>
          </cell>
          <cell r="I51">
            <v>17.3996114514133</v>
          </cell>
          <cell r="J51">
            <v>2.69068749001298</v>
          </cell>
          <cell r="K51">
            <v>-5.6753750269026799E-2</v>
          </cell>
          <cell r="L51">
            <v>0.98015679557826196</v>
          </cell>
          <cell r="M51">
            <v>8.8497000000000003</v>
          </cell>
          <cell r="AO51">
            <v>280</v>
          </cell>
          <cell r="AP51">
            <v>16.931000000000001</v>
          </cell>
          <cell r="AR51">
            <v>384.5</v>
          </cell>
          <cell r="AS51">
            <v>17.3398324454826</v>
          </cell>
        </row>
        <row r="52">
          <cell r="D52">
            <v>384.5</v>
          </cell>
          <cell r="I52">
            <v>17.3398324454826</v>
          </cell>
          <cell r="J52">
            <v>2.6335857527278699</v>
          </cell>
          <cell r="K52">
            <v>-5.3139451564592897E-2</v>
          </cell>
          <cell r="L52">
            <v>0.99544718731651305</v>
          </cell>
          <cell r="M52">
            <v>8.6887000000000008</v>
          </cell>
          <cell r="AO52">
            <v>285</v>
          </cell>
          <cell r="AP52">
            <v>17.327999999999999</v>
          </cell>
          <cell r="AR52">
            <v>388</v>
          </cell>
          <cell r="AS52">
            <v>16.940258792307802</v>
          </cell>
        </row>
        <row r="53">
          <cell r="D53">
            <v>388</v>
          </cell>
          <cell r="I53">
            <v>16.940258792307802</v>
          </cell>
          <cell r="J53">
            <v>2.4635326709811398</v>
          </cell>
          <cell r="K53">
            <v>-7.3112605927879201E-2</v>
          </cell>
          <cell r="L53">
            <v>0.99510236491085802</v>
          </cell>
          <cell r="AO53">
            <v>290</v>
          </cell>
          <cell r="AP53">
            <v>18.187999999999999</v>
          </cell>
          <cell r="AR53">
            <v>391.5</v>
          </cell>
          <cell r="AT53">
            <v>16.3957008847038</v>
          </cell>
        </row>
        <row r="54">
          <cell r="D54">
            <v>391.5</v>
          </cell>
          <cell r="I54">
            <v>16.3957008847038</v>
          </cell>
          <cell r="J54">
            <v>2.4028268564569202</v>
          </cell>
          <cell r="K54">
            <v>-7.6936787662569894E-2</v>
          </cell>
          <cell r="L54">
            <v>0.98857169184564997</v>
          </cell>
          <cell r="AO54">
            <v>295</v>
          </cell>
          <cell r="AP54">
            <v>20.565999999999999</v>
          </cell>
          <cell r="AR54">
            <v>397.5</v>
          </cell>
          <cell r="AT54">
            <v>16.454886994423401</v>
          </cell>
        </row>
        <row r="55">
          <cell r="D55">
            <v>397.5</v>
          </cell>
          <cell r="I55">
            <v>16.454886994423401</v>
          </cell>
          <cell r="J55">
            <v>2.6766375587540998</v>
          </cell>
          <cell r="K55">
            <v>-6.5131034166713495E-2</v>
          </cell>
          <cell r="L55">
            <v>0.96670273516183802</v>
          </cell>
          <cell r="AO55">
            <v>300</v>
          </cell>
          <cell r="AP55">
            <v>20.373999999999999</v>
          </cell>
          <cell r="AR55">
            <v>404</v>
          </cell>
          <cell r="AT55">
            <v>16.7437508754231</v>
          </cell>
        </row>
        <row r="56">
          <cell r="D56">
            <v>404</v>
          </cell>
          <cell r="I56">
            <v>16.7437508754231</v>
          </cell>
          <cell r="J56">
            <v>2.63801678688362</v>
          </cell>
          <cell r="K56">
            <v>-6.3703607362605705E-2</v>
          </cell>
          <cell r="L56">
            <v>0.98509213841811005</v>
          </cell>
          <cell r="AO56">
            <v>305</v>
          </cell>
          <cell r="AP56">
            <v>20.504000000000001</v>
          </cell>
          <cell r="AR56">
            <v>414</v>
          </cell>
          <cell r="AT56">
            <v>17.698277489199601</v>
          </cell>
        </row>
        <row r="57">
          <cell r="D57">
            <v>414</v>
          </cell>
          <cell r="I57">
            <v>17.698277489199601</v>
          </cell>
          <cell r="J57">
            <v>2.5438331806357199</v>
          </cell>
          <cell r="K57">
            <v>-6.7597440626103095E-2</v>
          </cell>
          <cell r="L57">
            <v>1.00195890263497</v>
          </cell>
          <cell r="AO57">
            <v>310</v>
          </cell>
          <cell r="AP57">
            <v>19.844000000000001</v>
          </cell>
          <cell r="AR57">
            <v>418</v>
          </cell>
          <cell r="AT57">
            <v>17.9912891291055</v>
          </cell>
        </row>
        <row r="58">
          <cell r="D58">
            <v>418</v>
          </cell>
          <cell r="I58">
            <v>17.9912891291055</v>
          </cell>
          <cell r="J58">
            <v>2.4904276959731502</v>
          </cell>
          <cell r="K58">
            <v>-8.2364253665511797E-2</v>
          </cell>
          <cell r="L58">
            <v>0.99905761620935596</v>
          </cell>
          <cell r="AO58">
            <v>315</v>
          </cell>
          <cell r="AP58">
            <v>21.427</v>
          </cell>
          <cell r="AR58">
            <v>421.5</v>
          </cell>
          <cell r="AT58">
            <v>18.257728020753198</v>
          </cell>
        </row>
        <row r="59">
          <cell r="D59">
            <v>421.5</v>
          </cell>
          <cell r="I59">
            <v>18.257728020753198</v>
          </cell>
          <cell r="J59">
            <v>2.43429542142287</v>
          </cell>
          <cell r="K59">
            <v>-8.2880677562552602E-2</v>
          </cell>
          <cell r="L59">
            <v>1.0057301015972699</v>
          </cell>
          <cell r="AO59">
            <v>320</v>
          </cell>
          <cell r="AP59">
            <v>17.327000000000002</v>
          </cell>
          <cell r="AR59">
            <v>424.5</v>
          </cell>
          <cell r="AT59">
            <v>16.6276878454829</v>
          </cell>
        </row>
        <row r="60">
          <cell r="D60">
            <v>424.5</v>
          </cell>
          <cell r="I60">
            <v>16.6276878454829</v>
          </cell>
          <cell r="J60">
            <v>2.23290442390141</v>
          </cell>
          <cell r="K60">
            <v>-6.5459970020442099E-2</v>
          </cell>
          <cell r="L60">
            <v>1.01391257634543</v>
          </cell>
          <cell r="AO60">
            <v>325</v>
          </cell>
          <cell r="AP60">
            <v>15.411</v>
          </cell>
          <cell r="AR60">
            <v>428</v>
          </cell>
          <cell r="AT60">
            <v>17.453877757397201</v>
          </cell>
        </row>
        <row r="61">
          <cell r="D61">
            <v>428</v>
          </cell>
          <cell r="I61">
            <v>17.453877757397201</v>
          </cell>
          <cell r="J61">
            <v>2.2952997647965798</v>
          </cell>
          <cell r="K61">
            <v>-7.5538435505543094E-2</v>
          </cell>
          <cell r="L61">
            <v>1.02122912926391</v>
          </cell>
          <cell r="AO61">
            <v>330</v>
          </cell>
          <cell r="AP61">
            <v>16.135999999999999</v>
          </cell>
          <cell r="AR61">
            <v>432.5</v>
          </cell>
          <cell r="AT61">
            <v>18.325460841122599</v>
          </cell>
        </row>
        <row r="62">
          <cell r="D62">
            <v>432.5</v>
          </cell>
          <cell r="I62">
            <v>18.325460841122599</v>
          </cell>
          <cell r="J62">
            <v>2.3848042175520598</v>
          </cell>
          <cell r="K62">
            <v>-7.0858729650314395E-2</v>
          </cell>
          <cell r="L62">
            <v>1.02352130905182</v>
          </cell>
          <cell r="AO62">
            <v>335</v>
          </cell>
          <cell r="AP62">
            <v>16.734999999999999</v>
          </cell>
          <cell r="AR62">
            <v>437.5</v>
          </cell>
          <cell r="AT62">
            <v>18.349921169625599</v>
          </cell>
        </row>
        <row r="63">
          <cell r="D63">
            <v>437.5</v>
          </cell>
          <cell r="I63">
            <v>18.349921169625599</v>
          </cell>
          <cell r="J63">
            <v>2.24432462613203</v>
          </cell>
          <cell r="K63">
            <v>-8.3179676353616602E-2</v>
          </cell>
          <cell r="L63">
            <v>1.0194075307531101</v>
          </cell>
          <cell r="AO63">
            <v>340</v>
          </cell>
          <cell r="AP63">
            <v>15.21</v>
          </cell>
          <cell r="AR63">
            <v>442.5</v>
          </cell>
          <cell r="AT63">
            <v>18.1871206977913</v>
          </cell>
        </row>
        <row r="64">
          <cell r="D64">
            <v>442.5</v>
          </cell>
          <cell r="I64">
            <v>18.1871206977913</v>
          </cell>
          <cell r="J64">
            <v>2.3904522674896098</v>
          </cell>
          <cell r="K64">
            <v>-8.2429004567425093E-2</v>
          </cell>
          <cell r="L64">
            <v>1.0140735545192301</v>
          </cell>
          <cell r="AO64">
            <v>345</v>
          </cell>
          <cell r="AP64">
            <v>15.215</v>
          </cell>
          <cell r="AR64">
            <v>447.5</v>
          </cell>
          <cell r="AT64">
            <v>17.6448954568076</v>
          </cell>
        </row>
        <row r="65">
          <cell r="D65">
            <v>447.5</v>
          </cell>
          <cell r="I65">
            <v>17.6448954568076</v>
          </cell>
          <cell r="J65">
            <v>2.4068032417591598</v>
          </cell>
          <cell r="K65">
            <v>-8.6202229958297696E-2</v>
          </cell>
          <cell r="L65">
            <v>1.00706879712405</v>
          </cell>
          <cell r="AO65">
            <v>350</v>
          </cell>
          <cell r="AP65">
            <v>15.212</v>
          </cell>
          <cell r="AR65">
            <v>452.5</v>
          </cell>
          <cell r="AT65">
            <v>17.4611860802327</v>
          </cell>
        </row>
        <row r="66">
          <cell r="D66">
            <v>452.5</v>
          </cell>
          <cell r="I66">
            <v>17.4611860802327</v>
          </cell>
          <cell r="J66">
            <v>2.4204352426426099</v>
          </cell>
          <cell r="K66">
            <v>-7.4674843466426694E-2</v>
          </cell>
          <cell r="L66">
            <v>1.01083563879292</v>
          </cell>
          <cell r="AO66">
            <v>355</v>
          </cell>
          <cell r="AP66">
            <v>15.475</v>
          </cell>
          <cell r="AR66">
            <v>457.5</v>
          </cell>
          <cell r="AT66">
            <v>17.053523986475302</v>
          </cell>
        </row>
        <row r="67">
          <cell r="D67">
            <v>457.5</v>
          </cell>
          <cell r="I67">
            <v>17.053523986475302</v>
          </cell>
          <cell r="J67">
            <v>2.3548181342551202</v>
          </cell>
          <cell r="K67">
            <v>-7.9682976580907006E-2</v>
          </cell>
          <cell r="L67">
            <v>1.0122456805186499</v>
          </cell>
          <cell r="AO67">
            <v>360</v>
          </cell>
          <cell r="AP67">
            <v>15.943</v>
          </cell>
          <cell r="AR67">
            <v>461</v>
          </cell>
          <cell r="AT67">
            <v>17.707459201962902</v>
          </cell>
        </row>
        <row r="68">
          <cell r="D68">
            <v>461</v>
          </cell>
          <cell r="I68">
            <v>17.707459201962902</v>
          </cell>
          <cell r="J68">
            <v>2.3213231746835499</v>
          </cell>
          <cell r="K68">
            <v>-5.3139842979787702E-2</v>
          </cell>
          <cell r="L68">
            <v>1.0354308037120701</v>
          </cell>
          <cell r="AO68">
            <v>365</v>
          </cell>
          <cell r="AP68">
            <v>16.670000000000002</v>
          </cell>
          <cell r="AR68">
            <v>463.5</v>
          </cell>
          <cell r="AT68">
            <v>16.825408572613298</v>
          </cell>
        </row>
        <row r="69">
          <cell r="D69">
            <v>463.5</v>
          </cell>
          <cell r="I69">
            <v>16.825408572613298</v>
          </cell>
          <cell r="J69">
            <v>2.2067310249175098</v>
          </cell>
          <cell r="K69">
            <v>-6.4664214613635404E-2</v>
          </cell>
          <cell r="L69">
            <v>1.0208093783757</v>
          </cell>
          <cell r="AO69">
            <v>370</v>
          </cell>
          <cell r="AP69">
            <v>15.28</v>
          </cell>
          <cell r="AR69">
            <v>467.5</v>
          </cell>
          <cell r="AT69">
            <v>17.057439280039102</v>
          </cell>
        </row>
        <row r="70">
          <cell r="D70">
            <v>467.5</v>
          </cell>
          <cell r="I70">
            <v>17.057439280039102</v>
          </cell>
          <cell r="J70">
            <v>2.33676690833496</v>
          </cell>
          <cell r="K70">
            <v>-5.3925351679045101E-2</v>
          </cell>
          <cell r="L70">
            <v>1.0318160621996399</v>
          </cell>
          <cell r="AO70">
            <v>375</v>
          </cell>
          <cell r="AP70">
            <v>16.207999999999998</v>
          </cell>
          <cell r="AR70">
            <v>472.5</v>
          </cell>
          <cell r="AT70">
            <v>16.450608143888701</v>
          </cell>
        </row>
        <row r="71">
          <cell r="D71">
            <v>472.5</v>
          </cell>
          <cell r="I71">
            <v>16.450608143888701</v>
          </cell>
          <cell r="J71">
            <v>2.49244625550135</v>
          </cell>
          <cell r="K71">
            <v>-8.6039229202098194E-2</v>
          </cell>
          <cell r="L71">
            <v>1.00234529018118</v>
          </cell>
          <cell r="AO71">
            <v>380</v>
          </cell>
          <cell r="AP71">
            <v>16.995999999999999</v>
          </cell>
          <cell r="AR71">
            <v>476</v>
          </cell>
          <cell r="AT71">
            <v>16.234082421005599</v>
          </cell>
        </row>
        <row r="72">
          <cell r="D72">
            <v>476</v>
          </cell>
          <cell r="I72">
            <v>16.234082421005599</v>
          </cell>
          <cell r="J72">
            <v>2.36504571634479</v>
          </cell>
          <cell r="K72">
            <v>-0.11637783864854501</v>
          </cell>
          <cell r="L72">
            <v>0.997889542406179</v>
          </cell>
          <cell r="AO72">
            <v>385</v>
          </cell>
          <cell r="AP72">
            <v>18.385999999999999</v>
          </cell>
          <cell r="AR72">
            <v>478.5</v>
          </cell>
          <cell r="AT72">
            <v>17.101903750439799</v>
          </cell>
        </row>
        <row r="73">
          <cell r="D73">
            <v>478.5</v>
          </cell>
          <cell r="I73">
            <v>17.101903750439799</v>
          </cell>
          <cell r="J73">
            <v>2.6132628808534402</v>
          </cell>
          <cell r="K73">
            <v>-7.61545526278853E-2</v>
          </cell>
          <cell r="L73">
            <v>0.98987840859769904</v>
          </cell>
          <cell r="AO73">
            <v>390</v>
          </cell>
          <cell r="AP73">
            <v>16.928000000000001</v>
          </cell>
          <cell r="AR73">
            <v>481.5</v>
          </cell>
        </row>
        <row r="74">
          <cell r="D74">
            <v>481.5</v>
          </cell>
          <cell r="AO74">
            <v>395</v>
          </cell>
          <cell r="AP74">
            <v>17.917999999999999</v>
          </cell>
          <cell r="AR74">
            <v>484</v>
          </cell>
          <cell r="AT74">
            <v>17.775455974689599</v>
          </cell>
        </row>
        <row r="75">
          <cell r="D75">
            <v>484</v>
          </cell>
          <cell r="I75">
            <v>17.775455974689599</v>
          </cell>
          <cell r="J75">
            <v>2.3928532892204402</v>
          </cell>
          <cell r="K75">
            <v>-8.3165168522412694E-2</v>
          </cell>
          <cell r="L75">
            <v>1.0100605497791899</v>
          </cell>
          <cell r="AO75">
            <v>400</v>
          </cell>
          <cell r="AP75">
            <v>19.181000000000001</v>
          </cell>
          <cell r="AR75">
            <v>487</v>
          </cell>
          <cell r="AT75">
            <v>17.018535442161799</v>
          </cell>
        </row>
        <row r="76">
          <cell r="D76">
            <v>487</v>
          </cell>
          <cell r="I76">
            <v>17.018535442161799</v>
          </cell>
          <cell r="J76">
            <v>2.20187277011956</v>
          </cell>
          <cell r="K76">
            <v>-7.9945580248441797E-2</v>
          </cell>
          <cell r="L76">
            <v>1.0157478056375899</v>
          </cell>
          <cell r="AO76">
            <v>405</v>
          </cell>
          <cell r="AP76">
            <v>18.710999999999999</v>
          </cell>
          <cell r="AR76">
            <v>490</v>
          </cell>
          <cell r="AT76">
            <v>17.653934148927402</v>
          </cell>
        </row>
        <row r="77">
          <cell r="D77">
            <v>490</v>
          </cell>
          <cell r="I77">
            <v>17.653934148927402</v>
          </cell>
          <cell r="J77">
            <v>2.3600287005241398</v>
          </cell>
          <cell r="K77">
            <v>-7.4421296457607394E-2</v>
          </cell>
          <cell r="L77">
            <v>1.01419591271137</v>
          </cell>
          <cell r="AO77">
            <v>410</v>
          </cell>
          <cell r="AP77">
            <v>19.109000000000002</v>
          </cell>
          <cell r="AR77">
            <v>492</v>
          </cell>
          <cell r="AT77">
            <v>15.9953879285036</v>
          </cell>
        </row>
        <row r="78">
          <cell r="D78">
            <v>492</v>
          </cell>
          <cell r="I78">
            <v>15.9953879285036</v>
          </cell>
          <cell r="J78">
            <v>2.1138273350771</v>
          </cell>
          <cell r="K78">
            <v>-8.43014980799386E-2</v>
          </cell>
          <cell r="L78">
            <v>1.00962002975361</v>
          </cell>
          <cell r="AO78">
            <v>415</v>
          </cell>
          <cell r="AP78">
            <v>19.042999999999999</v>
          </cell>
          <cell r="AR78">
            <v>494</v>
          </cell>
          <cell r="AT78">
            <v>15.6283855397346</v>
          </cell>
        </row>
        <row r="79">
          <cell r="D79">
            <v>494</v>
          </cell>
          <cell r="I79">
            <v>15.6283855397346</v>
          </cell>
          <cell r="J79">
            <v>2.2267847112719998</v>
          </cell>
          <cell r="K79">
            <v>-6.85131949861916E-2</v>
          </cell>
          <cell r="L79">
            <v>1.0106940824174699</v>
          </cell>
          <cell r="AO79">
            <v>420</v>
          </cell>
          <cell r="AP79">
            <v>20.898</v>
          </cell>
          <cell r="AR79">
            <v>497.5</v>
          </cell>
          <cell r="AT79">
            <v>15.5762558695598</v>
          </cell>
        </row>
        <row r="80">
          <cell r="D80">
            <v>497.5</v>
          </cell>
          <cell r="I80">
            <v>15.5762558695598</v>
          </cell>
          <cell r="J80">
            <v>2.2323713286114102</v>
          </cell>
          <cell r="K80">
            <v>-7.6716075314051696E-2</v>
          </cell>
          <cell r="L80">
            <v>1.00850689672628</v>
          </cell>
          <cell r="AO80">
            <v>425</v>
          </cell>
          <cell r="AP80">
            <v>20.895</v>
          </cell>
          <cell r="AR80">
            <v>502.5</v>
          </cell>
          <cell r="AT80">
            <v>15.7873049466477</v>
          </cell>
        </row>
        <row r="81">
          <cell r="D81">
            <v>502.5</v>
          </cell>
          <cell r="I81">
            <v>15.7873049466477</v>
          </cell>
          <cell r="J81">
            <v>2.5110452144851099</v>
          </cell>
          <cell r="K81">
            <v>-8.3406828081086903E-2</v>
          </cell>
          <cell r="L81">
            <v>0.96801331991754302</v>
          </cell>
          <cell r="AO81">
            <v>430</v>
          </cell>
          <cell r="AP81">
            <v>20.696000000000002</v>
          </cell>
          <cell r="AR81">
            <v>508</v>
          </cell>
          <cell r="AT81">
            <v>16.170154255624301</v>
          </cell>
        </row>
        <row r="82">
          <cell r="D82">
            <v>508</v>
          </cell>
          <cell r="I82">
            <v>16.170154255624301</v>
          </cell>
          <cell r="J82">
            <v>2.4838100206621498</v>
          </cell>
          <cell r="K82">
            <v>-9.7686114968775203E-2</v>
          </cell>
          <cell r="L82">
            <v>0.98945663057285504</v>
          </cell>
          <cell r="AO82">
            <v>435</v>
          </cell>
          <cell r="AP82">
            <v>20.896999999999998</v>
          </cell>
          <cell r="AR82">
            <v>512.5</v>
          </cell>
          <cell r="AT82">
            <v>17.1923462826099</v>
          </cell>
        </row>
        <row r="83">
          <cell r="D83">
            <v>512.5</v>
          </cell>
          <cell r="I83">
            <v>17.1923462826099</v>
          </cell>
          <cell r="J83">
            <v>2.3742807873205898</v>
          </cell>
          <cell r="K83">
            <v>-6.5301652039913199E-2</v>
          </cell>
          <cell r="L83">
            <v>1.0109459311101401</v>
          </cell>
          <cell r="AO83">
            <v>440</v>
          </cell>
          <cell r="AP83">
            <v>20.501999999999999</v>
          </cell>
          <cell r="AR83">
            <v>517.5</v>
          </cell>
          <cell r="AT83">
            <v>17.738173607338101</v>
          </cell>
        </row>
        <row r="84">
          <cell r="D84">
            <v>517.5</v>
          </cell>
          <cell r="I84">
            <v>17.738173607338101</v>
          </cell>
          <cell r="J84">
            <v>2.1797200417793201</v>
          </cell>
          <cell r="K84">
            <v>-6.45984235375405E-2</v>
          </cell>
          <cell r="L84">
            <v>1.01324827264836</v>
          </cell>
          <cell r="AO84">
            <v>445</v>
          </cell>
          <cell r="AP84">
            <v>20.433</v>
          </cell>
          <cell r="AR84">
            <v>521.5</v>
          </cell>
          <cell r="AT84">
            <v>18.005834644554302</v>
          </cell>
        </row>
        <row r="85">
          <cell r="D85">
            <v>521.5</v>
          </cell>
          <cell r="I85">
            <v>18.005834644554302</v>
          </cell>
          <cell r="J85">
            <v>2.3476550934126599</v>
          </cell>
          <cell r="K85">
            <v>-0.100167370576148</v>
          </cell>
          <cell r="L85">
            <v>1.0013730939027501</v>
          </cell>
          <cell r="AO85">
            <v>450</v>
          </cell>
          <cell r="AP85">
            <v>21.225999999999999</v>
          </cell>
          <cell r="AR85">
            <v>524.5</v>
          </cell>
          <cell r="AT85">
            <v>17.737308946827099</v>
          </cell>
        </row>
        <row r="86">
          <cell r="D86">
            <v>524.5</v>
          </cell>
          <cell r="I86">
            <v>17.737308946827099</v>
          </cell>
          <cell r="J86">
            <v>2.2432712393631502</v>
          </cell>
          <cell r="K86">
            <v>-8.5947968979909306E-2</v>
          </cell>
          <cell r="L86">
            <v>1.00707306724993</v>
          </cell>
          <cell r="AO86">
            <v>455</v>
          </cell>
          <cell r="AP86">
            <v>20.698</v>
          </cell>
          <cell r="AR86">
            <v>528</v>
          </cell>
          <cell r="AT86">
            <v>15.9897915272524</v>
          </cell>
        </row>
        <row r="87">
          <cell r="D87">
            <v>528</v>
          </cell>
          <cell r="I87">
            <v>15.9897915272524</v>
          </cell>
          <cell r="J87">
            <v>2.5896273449233802</v>
          </cell>
          <cell r="K87">
            <v>-7.2800819971340303E-2</v>
          </cell>
          <cell r="L87">
            <v>0.94931299593527896</v>
          </cell>
          <cell r="AO87">
            <v>460</v>
          </cell>
          <cell r="AP87">
            <v>20.960999999999999</v>
          </cell>
          <cell r="AR87">
            <v>531</v>
          </cell>
          <cell r="AT87">
            <v>14.9604081741288</v>
          </cell>
        </row>
        <row r="88">
          <cell r="D88">
            <v>531</v>
          </cell>
          <cell r="I88">
            <v>14.9604081741288</v>
          </cell>
          <cell r="J88">
            <v>2.5989954575116201</v>
          </cell>
          <cell r="K88">
            <v>-2.8180078584220499E-2</v>
          </cell>
          <cell r="L88">
            <v>0.949615660028586</v>
          </cell>
          <cell r="AO88">
            <v>465</v>
          </cell>
          <cell r="AP88">
            <v>20.033999999999999</v>
          </cell>
          <cell r="AR88">
            <v>535</v>
          </cell>
          <cell r="AT88">
            <v>14.2188119602844</v>
          </cell>
        </row>
        <row r="89">
          <cell r="D89">
            <v>535</v>
          </cell>
          <cell r="I89">
            <v>14.2188119602844</v>
          </cell>
          <cell r="J89">
            <v>2.6245552476482401</v>
          </cell>
          <cell r="K89">
            <v>-3.99844321867205E-2</v>
          </cell>
          <cell r="L89">
            <v>0.92444090160524495</v>
          </cell>
          <cell r="AO89">
            <v>470</v>
          </cell>
          <cell r="AP89">
            <v>20.431000000000001</v>
          </cell>
          <cell r="AR89">
            <v>539</v>
          </cell>
          <cell r="AT89">
            <v>16.014158324145399</v>
          </cell>
        </row>
        <row r="90">
          <cell r="D90">
            <v>539</v>
          </cell>
          <cell r="I90">
            <v>16.014158324145399</v>
          </cell>
          <cell r="J90">
            <v>2.5347793817832098</v>
          </cell>
          <cell r="K90">
            <v>-7.2126065461301403E-2</v>
          </cell>
          <cell r="L90">
            <v>0.98138169538211395</v>
          </cell>
          <cell r="AO90">
            <v>475</v>
          </cell>
          <cell r="AP90">
            <v>21.026</v>
          </cell>
          <cell r="AR90">
            <v>541</v>
          </cell>
          <cell r="AT90">
            <v>16.432034598401401</v>
          </cell>
        </row>
        <row r="91">
          <cell r="D91">
            <v>541</v>
          </cell>
          <cell r="I91">
            <v>16.432034598401401</v>
          </cell>
          <cell r="J91">
            <v>2.4092283792289901</v>
          </cell>
          <cell r="K91">
            <v>-7.7743741651681006E-2</v>
          </cell>
          <cell r="L91">
            <v>0.97396926964337005</v>
          </cell>
          <cell r="AO91">
            <v>480</v>
          </cell>
          <cell r="AP91">
            <v>21.097000000000001</v>
          </cell>
          <cell r="AR91">
            <v>543</v>
          </cell>
          <cell r="AT91">
            <v>16.868772122647901</v>
          </cell>
        </row>
        <row r="92">
          <cell r="D92">
            <v>543</v>
          </cell>
          <cell r="I92">
            <v>16.868772122647901</v>
          </cell>
          <cell r="J92">
            <v>2.5404704417778001</v>
          </cell>
          <cell r="K92">
            <v>-7.5462630396193497E-2</v>
          </cell>
          <cell r="L92">
            <v>0.98262696318991205</v>
          </cell>
          <cell r="AO92">
            <v>485</v>
          </cell>
          <cell r="AP92">
            <v>18.646999999999998</v>
          </cell>
          <cell r="AR92">
            <v>545</v>
          </cell>
          <cell r="AT92">
            <v>17.230518222040399</v>
          </cell>
        </row>
        <row r="93">
          <cell r="D93">
            <v>545</v>
          </cell>
          <cell r="I93">
            <v>17.230518222040399</v>
          </cell>
          <cell r="J93">
            <v>2.37084947020533</v>
          </cell>
          <cell r="K93">
            <v>-0.10049085824607699</v>
          </cell>
          <cell r="L93">
            <v>0.99932100315476502</v>
          </cell>
          <cell r="AO93">
            <v>490</v>
          </cell>
          <cell r="AP93">
            <v>18.25</v>
          </cell>
          <cell r="AR93">
            <v>547</v>
          </cell>
          <cell r="AT93">
            <v>15.8309096376122</v>
          </cell>
        </row>
        <row r="94">
          <cell r="D94">
            <v>547</v>
          </cell>
          <cell r="I94">
            <v>15.8309096376122</v>
          </cell>
          <cell r="J94">
            <v>2.4181312667542301</v>
          </cell>
          <cell r="K94">
            <v>-9.5426296537290706E-2</v>
          </cell>
          <cell r="L94">
            <v>0.97874669224789601</v>
          </cell>
          <cell r="AO94">
            <v>495</v>
          </cell>
          <cell r="AP94">
            <v>17.13</v>
          </cell>
          <cell r="AR94">
            <v>549</v>
          </cell>
          <cell r="AT94">
            <v>15.981776093023599</v>
          </cell>
        </row>
        <row r="95">
          <cell r="D95">
            <v>549</v>
          </cell>
          <cell r="I95">
            <v>15.981776093023599</v>
          </cell>
          <cell r="J95">
            <v>2.30910176969638</v>
          </cell>
          <cell r="K95">
            <v>-9.9275099378358503E-2</v>
          </cell>
          <cell r="L95">
            <v>0.98510803538152103</v>
          </cell>
          <cell r="AO95">
            <v>500</v>
          </cell>
          <cell r="AP95">
            <v>17.594000000000001</v>
          </cell>
          <cell r="AR95">
            <v>552.5</v>
          </cell>
          <cell r="AT95">
            <v>16.766632582301899</v>
          </cell>
        </row>
        <row r="96">
          <cell r="D96">
            <v>552.5</v>
          </cell>
          <cell r="I96">
            <v>16.766632582301899</v>
          </cell>
          <cell r="J96">
            <v>2.44717425268438</v>
          </cell>
          <cell r="K96">
            <v>-9.8218768787062899E-2</v>
          </cell>
          <cell r="L96">
            <v>0.98386205095774704</v>
          </cell>
          <cell r="AO96">
            <v>505</v>
          </cell>
          <cell r="AP96">
            <v>18.715</v>
          </cell>
          <cell r="AR96">
            <v>557.5</v>
          </cell>
          <cell r="AT96">
            <v>18.359440745479201</v>
          </cell>
        </row>
        <row r="97">
          <cell r="D97">
            <v>557.5</v>
          </cell>
          <cell r="I97">
            <v>18.359440745479201</v>
          </cell>
          <cell r="J97">
            <v>2.4065783153543201</v>
          </cell>
          <cell r="K97">
            <v>-0.103089360783589</v>
          </cell>
          <cell r="L97">
            <v>1.0088133020936201</v>
          </cell>
          <cell r="AO97">
            <v>510</v>
          </cell>
          <cell r="AP97">
            <v>20.765999999999998</v>
          </cell>
          <cell r="AR97">
            <v>561</v>
          </cell>
          <cell r="AT97">
            <v>18.159044351525399</v>
          </cell>
        </row>
        <row r="98">
          <cell r="D98">
            <v>561</v>
          </cell>
          <cell r="I98">
            <v>18.159044351525399</v>
          </cell>
          <cell r="J98">
            <v>2.33590005888427</v>
          </cell>
          <cell r="K98">
            <v>-0.111397784509446</v>
          </cell>
          <cell r="L98">
            <v>1.0055530900201299</v>
          </cell>
          <cell r="AO98">
            <v>515</v>
          </cell>
          <cell r="AP98">
            <v>21.754999999999999</v>
          </cell>
          <cell r="AR98">
            <v>563</v>
          </cell>
          <cell r="AT98">
            <v>16.9119617808641</v>
          </cell>
        </row>
        <row r="99">
          <cell r="D99">
            <v>563</v>
          </cell>
          <cell r="I99">
            <v>16.9119617808641</v>
          </cell>
          <cell r="J99">
            <v>2.3031186733618498</v>
          </cell>
          <cell r="K99">
            <v>-9.2824546803505506E-2</v>
          </cell>
          <cell r="L99">
            <v>0.98937296789280305</v>
          </cell>
          <cell r="AO99">
            <v>520</v>
          </cell>
          <cell r="AP99">
            <v>18.777999999999999</v>
          </cell>
          <cell r="AR99">
            <v>565</v>
          </cell>
          <cell r="AT99">
            <v>16.162098274513301</v>
          </cell>
        </row>
        <row r="100">
          <cell r="D100">
            <v>565</v>
          </cell>
          <cell r="I100">
            <v>16.162098274513301</v>
          </cell>
          <cell r="J100">
            <v>2.2928794258629499</v>
          </cell>
          <cell r="K100">
            <v>-9.6009371054779705E-2</v>
          </cell>
          <cell r="L100">
            <v>0.98912515191186701</v>
          </cell>
          <cell r="AO100">
            <v>525</v>
          </cell>
          <cell r="AP100">
            <v>15.146000000000001</v>
          </cell>
          <cell r="AR100">
            <v>567</v>
          </cell>
          <cell r="AT100">
            <v>17.118300684150199</v>
          </cell>
        </row>
        <row r="101">
          <cell r="D101">
            <v>567</v>
          </cell>
          <cell r="I101">
            <v>17.118300684150199</v>
          </cell>
          <cell r="J101">
            <v>2.4385817420894802</v>
          </cell>
          <cell r="K101">
            <v>-8.1267138900740304E-2</v>
          </cell>
          <cell r="L101">
            <v>0.99466612095019402</v>
          </cell>
          <cell r="AO101">
            <v>530</v>
          </cell>
          <cell r="AP101">
            <v>17.125</v>
          </cell>
          <cell r="AR101">
            <v>569</v>
          </cell>
          <cell r="AT101">
            <v>16.778586086804498</v>
          </cell>
        </row>
        <row r="102">
          <cell r="D102">
            <v>569</v>
          </cell>
          <cell r="I102">
            <v>16.778586086804498</v>
          </cell>
          <cell r="J102">
            <v>2.4870120469668699</v>
          </cell>
          <cell r="K102">
            <v>-7.4722055593246295E-2</v>
          </cell>
          <cell r="L102">
            <v>0.996448481250095</v>
          </cell>
          <cell r="AO102">
            <v>535</v>
          </cell>
          <cell r="AP102">
            <v>17.058</v>
          </cell>
          <cell r="AR102">
            <v>572.5</v>
          </cell>
          <cell r="AT102">
            <v>16.537470431516802</v>
          </cell>
        </row>
        <row r="103">
          <cell r="D103">
            <v>572.5</v>
          </cell>
          <cell r="I103">
            <v>16.537470431516802</v>
          </cell>
          <cell r="J103">
            <v>2.5073601431375701</v>
          </cell>
          <cell r="K103">
            <v>-7.05000388468425E-2</v>
          </cell>
          <cell r="L103">
            <v>1.00441871610474</v>
          </cell>
          <cell r="AO103">
            <v>540</v>
          </cell>
          <cell r="AP103">
            <v>17.061</v>
          </cell>
          <cell r="AR103">
            <v>577.5</v>
          </cell>
          <cell r="AT103">
            <v>16.7912604979498</v>
          </cell>
        </row>
        <row r="104">
          <cell r="D104">
            <v>577.5</v>
          </cell>
          <cell r="I104">
            <v>16.7912604979498</v>
          </cell>
          <cell r="J104">
            <v>2.3204521903403901</v>
          </cell>
          <cell r="K104">
            <v>-7.9177771504777006E-2</v>
          </cell>
          <cell r="L104">
            <v>1.0078063496935401</v>
          </cell>
          <cell r="AO104">
            <v>545</v>
          </cell>
          <cell r="AP104">
            <v>16.859000000000002</v>
          </cell>
          <cell r="AR104">
            <v>582.5</v>
          </cell>
          <cell r="AT104">
            <v>16.941465070359701</v>
          </cell>
        </row>
        <row r="105">
          <cell r="D105">
            <v>582.5</v>
          </cell>
          <cell r="I105">
            <v>16.941465070359701</v>
          </cell>
          <cell r="J105">
            <v>2.4242855473403702</v>
          </cell>
          <cell r="K105">
            <v>-6.0564094748027701E-2</v>
          </cell>
          <cell r="L105">
            <v>1.0129129401172501</v>
          </cell>
          <cell r="AO105">
            <v>550</v>
          </cell>
          <cell r="AP105">
            <v>13.69</v>
          </cell>
          <cell r="AR105">
            <v>587.5</v>
          </cell>
          <cell r="AT105">
            <v>17.2830128167145</v>
          </cell>
        </row>
        <row r="106">
          <cell r="D106">
            <v>587.5</v>
          </cell>
          <cell r="I106">
            <v>17.2830128167145</v>
          </cell>
          <cell r="J106">
            <v>2.3094252826072399</v>
          </cell>
          <cell r="K106">
            <v>-7.9731376423828201E-2</v>
          </cell>
          <cell r="L106">
            <v>0.99891502785893005</v>
          </cell>
          <cell r="AO106">
            <v>555</v>
          </cell>
          <cell r="AP106">
            <v>17.256</v>
          </cell>
          <cell r="AR106">
            <v>605</v>
          </cell>
          <cell r="AT106">
            <v>17.281760182079701</v>
          </cell>
        </row>
        <row r="107">
          <cell r="D107">
            <v>605</v>
          </cell>
          <cell r="I107">
            <v>17.281760182079701</v>
          </cell>
          <cell r="J107">
            <v>2.55294767879177</v>
          </cell>
          <cell r="K107">
            <v>-7.9234888448416294E-2</v>
          </cell>
          <cell r="L107">
            <v>0.98682777576121405</v>
          </cell>
          <cell r="AO107">
            <v>560</v>
          </cell>
          <cell r="AP107">
            <v>18.317</v>
          </cell>
          <cell r="AR107">
            <v>615</v>
          </cell>
          <cell r="AT107">
            <v>17.864975409262001</v>
          </cell>
        </row>
        <row r="108">
          <cell r="D108">
            <v>615</v>
          </cell>
          <cell r="I108">
            <v>17.864975409262001</v>
          </cell>
          <cell r="J108">
            <v>2.3600132823978099</v>
          </cell>
          <cell r="K108">
            <v>-8.5508496230641898E-2</v>
          </cell>
          <cell r="L108">
            <v>1.01305761642814</v>
          </cell>
          <cell r="AO108">
            <v>565</v>
          </cell>
          <cell r="AP108">
            <v>17.393999999999998</v>
          </cell>
          <cell r="AR108">
            <v>625</v>
          </cell>
          <cell r="AT108">
            <v>9.1624778973578795</v>
          </cell>
        </row>
        <row r="109">
          <cell r="D109">
            <v>625</v>
          </cell>
          <cell r="I109">
            <v>9.1624778973578795</v>
          </cell>
          <cell r="J109">
            <v>1.72899383565874</v>
          </cell>
          <cell r="K109">
            <v>-0.223679817223881</v>
          </cell>
          <cell r="L109">
            <v>1.07781885921554</v>
          </cell>
          <cell r="AO109">
            <v>570</v>
          </cell>
          <cell r="AP109">
            <v>18.911000000000001</v>
          </cell>
          <cell r="AR109">
            <v>635</v>
          </cell>
          <cell r="AT109">
            <v>16.682755289206298</v>
          </cell>
        </row>
        <row r="110">
          <cell r="D110">
            <v>635</v>
          </cell>
          <cell r="I110">
            <v>16.682755289206298</v>
          </cell>
          <cell r="J110">
            <v>2.6648460423019902</v>
          </cell>
          <cell r="K110">
            <v>-5.00726658291629E-2</v>
          </cell>
          <cell r="L110">
            <v>0.97891507513473397</v>
          </cell>
          <cell r="AO110">
            <v>575</v>
          </cell>
          <cell r="AP110">
            <v>19.042999999999999</v>
          </cell>
          <cell r="AR110">
            <v>645</v>
          </cell>
          <cell r="AT110">
            <v>17.688692455535399</v>
          </cell>
        </row>
        <row r="111">
          <cell r="D111">
            <v>645</v>
          </cell>
          <cell r="I111">
            <v>17.688692455535399</v>
          </cell>
          <cell r="J111">
            <v>2.5014687814443701</v>
          </cell>
          <cell r="K111">
            <v>-6.5979772891253494E-2</v>
          </cell>
          <cell r="L111">
            <v>1.0082364264793999</v>
          </cell>
          <cell r="AO111">
            <v>580</v>
          </cell>
          <cell r="AP111">
            <v>17.654</v>
          </cell>
          <cell r="AR111">
            <v>655</v>
          </cell>
          <cell r="AT111">
            <v>17.888834142239698</v>
          </cell>
        </row>
        <row r="112">
          <cell r="D112">
            <v>655</v>
          </cell>
          <cell r="I112">
            <v>17.888834142239698</v>
          </cell>
          <cell r="J112">
            <v>2.4410123599096201</v>
          </cell>
          <cell r="K112">
            <v>-5.9446689776623499E-2</v>
          </cell>
          <cell r="L112">
            <v>1.0126402064686599</v>
          </cell>
          <cell r="AO112">
            <v>585</v>
          </cell>
          <cell r="AP112">
            <v>17.664000000000001</v>
          </cell>
          <cell r="AR112">
            <v>665</v>
          </cell>
          <cell r="AT112">
            <v>16.973751543151899</v>
          </cell>
        </row>
        <row r="113">
          <cell r="D113">
            <v>665</v>
          </cell>
          <cell r="I113">
            <v>16.973751543151899</v>
          </cell>
          <cell r="J113">
            <v>2.5093620793118601</v>
          </cell>
          <cell r="K113">
            <v>-2.7468377612919599E-2</v>
          </cell>
          <cell r="L113">
            <v>0.98460270701633701</v>
          </cell>
          <cell r="AO113">
            <v>590</v>
          </cell>
          <cell r="AP113">
            <v>16.736000000000001</v>
          </cell>
          <cell r="AR113">
            <v>675</v>
          </cell>
          <cell r="AT113">
            <v>22.807820739988401</v>
          </cell>
        </row>
        <row r="114">
          <cell r="D114">
            <v>675</v>
          </cell>
          <cell r="I114">
            <v>22.807820739988401</v>
          </cell>
          <cell r="J114">
            <v>2.2009202103672401</v>
          </cell>
          <cell r="K114">
            <v>-9.0315338549040294E-2</v>
          </cell>
          <cell r="L114">
            <v>1.00674456443347</v>
          </cell>
          <cell r="AO114">
            <v>595</v>
          </cell>
          <cell r="AP114">
            <v>15.94</v>
          </cell>
          <cell r="AR114">
            <v>685</v>
          </cell>
          <cell r="AT114">
            <v>25.335658313139898</v>
          </cell>
        </row>
        <row r="115">
          <cell r="D115">
            <v>685</v>
          </cell>
          <cell r="I115">
            <v>25.335658313139898</v>
          </cell>
          <cell r="J115">
            <v>2.3063899480321202</v>
          </cell>
          <cell r="K115">
            <v>-0.122565207972297</v>
          </cell>
          <cell r="L115">
            <v>1.01529562160688</v>
          </cell>
          <cell r="AO115">
            <v>600</v>
          </cell>
          <cell r="AP115">
            <v>16.472000000000001</v>
          </cell>
          <cell r="AR115">
            <v>695</v>
          </cell>
          <cell r="AT115">
            <v>24.417958458319799</v>
          </cell>
        </row>
        <row r="116">
          <cell r="D116">
            <v>695</v>
          </cell>
          <cell r="I116">
            <v>24.417958458319799</v>
          </cell>
          <cell r="J116">
            <v>2.28299476667571</v>
          </cell>
          <cell r="K116">
            <v>-8.7042518057297194E-2</v>
          </cell>
          <cell r="L116">
            <v>0.99721690115768002</v>
          </cell>
          <cell r="AO116">
            <v>605</v>
          </cell>
          <cell r="AP116">
            <v>16.600999999999999</v>
          </cell>
          <cell r="AR116">
            <v>705</v>
          </cell>
          <cell r="AT116">
            <v>32.397541964260199</v>
          </cell>
        </row>
        <row r="117">
          <cell r="D117">
            <v>705</v>
          </cell>
          <cell r="I117">
            <v>32.397541964260199</v>
          </cell>
          <cell r="J117">
            <v>2.3380539385629699</v>
          </cell>
          <cell r="K117">
            <v>-0.14059612710243699</v>
          </cell>
          <cell r="L117">
            <v>1.0004598906815001</v>
          </cell>
          <cell r="AO117">
            <v>610</v>
          </cell>
          <cell r="AP117">
            <v>17.795999999999999</v>
          </cell>
          <cell r="AR117">
            <v>715</v>
          </cell>
          <cell r="AT117">
            <v>33.748075281126802</v>
          </cell>
        </row>
        <row r="118">
          <cell r="D118">
            <v>715</v>
          </cell>
          <cell r="I118">
            <v>33.748075281126802</v>
          </cell>
          <cell r="J118">
            <v>2.3757972370120801</v>
          </cell>
          <cell r="K118">
            <v>-0.156394996832251</v>
          </cell>
          <cell r="L118">
            <v>1.0024245975427399</v>
          </cell>
          <cell r="AO118">
            <v>615</v>
          </cell>
          <cell r="AP118">
            <v>15.347</v>
          </cell>
          <cell r="AR118">
            <v>725</v>
          </cell>
          <cell r="AT118">
            <v>30.2376406915212</v>
          </cell>
        </row>
        <row r="119">
          <cell r="D119">
            <v>725</v>
          </cell>
          <cell r="I119">
            <v>30.2376406915212</v>
          </cell>
          <cell r="J119">
            <v>2.43861109636117</v>
          </cell>
          <cell r="K119">
            <v>-0.12956893531272901</v>
          </cell>
          <cell r="L119">
            <v>0.976373081130675</v>
          </cell>
          <cell r="AO119">
            <v>620</v>
          </cell>
          <cell r="AP119">
            <v>15.808</v>
          </cell>
          <cell r="AR119">
            <v>735</v>
          </cell>
          <cell r="AT119">
            <v>35.433616359316197</v>
          </cell>
        </row>
        <row r="120">
          <cell r="D120">
            <v>735</v>
          </cell>
          <cell r="I120">
            <v>35.433616359316197</v>
          </cell>
          <cell r="J120">
            <v>2.3769950822562902</v>
          </cell>
          <cell r="K120">
            <v>-0.18022246941797901</v>
          </cell>
          <cell r="L120">
            <v>1.0105300319519701</v>
          </cell>
          <cell r="AO120">
            <v>625</v>
          </cell>
          <cell r="AP120">
            <v>16.338999999999999</v>
          </cell>
          <cell r="AR120">
            <v>745</v>
          </cell>
          <cell r="AT120">
            <v>30.708605030003799</v>
          </cell>
        </row>
        <row r="121">
          <cell r="D121">
            <v>745</v>
          </cell>
          <cell r="I121">
            <v>30.708605030003799</v>
          </cell>
          <cell r="J121">
            <v>2.3344557664267498</v>
          </cell>
          <cell r="K121">
            <v>-0.15061561502681101</v>
          </cell>
          <cell r="L121">
            <v>1.0064963198553201</v>
          </cell>
          <cell r="AO121">
            <v>630</v>
          </cell>
          <cell r="AP121">
            <v>17.196999999999999</v>
          </cell>
          <cell r="AR121">
            <v>755</v>
          </cell>
          <cell r="AT121">
            <v>29.677911541480299</v>
          </cell>
        </row>
        <row r="122">
          <cell r="D122">
            <v>755</v>
          </cell>
          <cell r="I122">
            <v>29.677911541480299</v>
          </cell>
          <cell r="J122">
            <v>2.2708844428649799</v>
          </cell>
          <cell r="K122">
            <v>-0.14363123443190301</v>
          </cell>
          <cell r="L122">
            <v>1.0272394443551001</v>
          </cell>
          <cell r="AO122">
            <v>635</v>
          </cell>
          <cell r="AP122">
            <v>18.646999999999998</v>
          </cell>
          <cell r="AR122">
            <v>765</v>
          </cell>
          <cell r="AT122">
            <v>31.5422132331623</v>
          </cell>
        </row>
        <row r="123">
          <cell r="D123">
            <v>765</v>
          </cell>
          <cell r="I123">
            <v>31.5422132331623</v>
          </cell>
          <cell r="J123">
            <v>2.3289030295820998</v>
          </cell>
          <cell r="K123">
            <v>-0.159818711335622</v>
          </cell>
          <cell r="L123">
            <v>1.0243068619270199</v>
          </cell>
          <cell r="AO123">
            <v>640</v>
          </cell>
          <cell r="AP123">
            <v>20.167000000000002</v>
          </cell>
          <cell r="AR123">
            <v>775</v>
          </cell>
          <cell r="AT123">
            <v>28.727406959219</v>
          </cell>
        </row>
        <row r="124">
          <cell r="D124">
            <v>775</v>
          </cell>
          <cell r="I124">
            <v>28.727406959219</v>
          </cell>
          <cell r="J124">
            <v>2.2764505655952298</v>
          </cell>
          <cell r="K124">
            <v>-0.129347352675207</v>
          </cell>
          <cell r="L124">
            <v>1.01550407455606</v>
          </cell>
          <cell r="AO124">
            <v>645</v>
          </cell>
          <cell r="AP124">
            <v>18.379000000000001</v>
          </cell>
          <cell r="AR124">
            <v>785</v>
          </cell>
          <cell r="AT124">
            <v>30.775195262652399</v>
          </cell>
        </row>
        <row r="125">
          <cell r="D125">
            <v>785</v>
          </cell>
          <cell r="I125">
            <v>30.775195262652399</v>
          </cell>
          <cell r="J125">
            <v>2.3775213768022398</v>
          </cell>
          <cell r="K125">
            <v>-0.16187165775917201</v>
          </cell>
          <cell r="L125">
            <v>1.0150986245562099</v>
          </cell>
          <cell r="AO125">
            <v>650</v>
          </cell>
          <cell r="AP125">
            <v>21.823</v>
          </cell>
          <cell r="AR125">
            <v>795</v>
          </cell>
          <cell r="AT125">
            <v>30.6476386858801</v>
          </cell>
        </row>
        <row r="126">
          <cell r="D126">
            <v>795</v>
          </cell>
          <cell r="I126">
            <v>30.6476386858801</v>
          </cell>
          <cell r="J126">
            <v>2.2485173249505102</v>
          </cell>
          <cell r="K126">
            <v>-0.151806648278004</v>
          </cell>
          <cell r="L126">
            <v>1.03377807067828</v>
          </cell>
          <cell r="AO126">
            <v>655</v>
          </cell>
          <cell r="AP126">
            <v>23.471</v>
          </cell>
          <cell r="AR126">
            <v>805</v>
          </cell>
          <cell r="AT126">
            <v>30.3132739695948</v>
          </cell>
        </row>
        <row r="127">
          <cell r="D127">
            <v>805</v>
          </cell>
          <cell r="I127">
            <v>30.3132739695948</v>
          </cell>
          <cell r="J127">
            <v>2.2472858096547399</v>
          </cell>
          <cell r="K127">
            <v>-0.14513883514885201</v>
          </cell>
          <cell r="L127">
            <v>1.02372630579297</v>
          </cell>
          <cell r="AO127">
            <v>660</v>
          </cell>
          <cell r="AP127">
            <v>24.396999999999998</v>
          </cell>
          <cell r="AR127">
            <v>815</v>
          </cell>
          <cell r="AT127">
            <v>23.255471503231298</v>
          </cell>
        </row>
        <row r="128">
          <cell r="D128">
            <v>815</v>
          </cell>
          <cell r="I128">
            <v>23.255471503231298</v>
          </cell>
          <cell r="J128">
            <v>2.2848202358546099</v>
          </cell>
          <cell r="K128">
            <v>-8.4320831603835494E-2</v>
          </cell>
          <cell r="L128">
            <v>0.99931804632252696</v>
          </cell>
          <cell r="AO128">
            <v>665</v>
          </cell>
          <cell r="AP128">
            <v>27.306999999999999</v>
          </cell>
          <cell r="AR128">
            <v>825</v>
          </cell>
          <cell r="AT128">
            <v>29.004153939037</v>
          </cell>
        </row>
        <row r="129">
          <cell r="D129">
            <v>825</v>
          </cell>
          <cell r="I129">
            <v>29.004153939037</v>
          </cell>
          <cell r="J129">
            <v>2.2904547258227201</v>
          </cell>
          <cell r="K129">
            <v>-0.132916454280504</v>
          </cell>
          <cell r="L129">
            <v>1.02014322434775</v>
          </cell>
          <cell r="AO129">
            <v>670</v>
          </cell>
          <cell r="AP129">
            <v>21.623999999999999</v>
          </cell>
          <cell r="AR129">
            <v>835</v>
          </cell>
          <cell r="AT129">
            <v>25.9311896905601</v>
          </cell>
        </row>
        <row r="130">
          <cell r="D130">
            <v>835</v>
          </cell>
          <cell r="I130">
            <v>25.9311896905601</v>
          </cell>
          <cell r="J130">
            <v>2.1874609047818701</v>
          </cell>
          <cell r="K130">
            <v>-0.10833799615831</v>
          </cell>
          <cell r="L130">
            <v>1.0146400118958201</v>
          </cell>
          <cell r="AO130">
            <v>675</v>
          </cell>
          <cell r="AP130">
            <v>21.556000000000001</v>
          </cell>
          <cell r="AR130">
            <v>850</v>
          </cell>
          <cell r="AT130">
            <v>24.382822320613599</v>
          </cell>
        </row>
        <row r="131">
          <cell r="D131">
            <v>850</v>
          </cell>
          <cell r="I131">
            <v>24.382822320613599</v>
          </cell>
          <cell r="J131">
            <v>2.2403423739618602</v>
          </cell>
          <cell r="K131">
            <v>-0.10969879848947101</v>
          </cell>
          <cell r="L131">
            <v>1.0084955930525601</v>
          </cell>
          <cell r="AO131">
            <v>680</v>
          </cell>
          <cell r="AP131">
            <v>21.818999999999999</v>
          </cell>
          <cell r="AR131">
            <v>851.5</v>
          </cell>
          <cell r="AT131">
            <v>21.825141835434302</v>
          </cell>
        </row>
        <row r="132">
          <cell r="D132">
            <v>851.5</v>
          </cell>
          <cell r="I132">
            <v>21.825141835434302</v>
          </cell>
          <cell r="J132">
            <v>2.3621469936424702</v>
          </cell>
          <cell r="K132">
            <v>-0.100824742237501</v>
          </cell>
          <cell r="L132">
            <v>1.0071760535712699</v>
          </cell>
          <cell r="AO132">
            <v>685</v>
          </cell>
          <cell r="AP132">
            <v>21.63</v>
          </cell>
          <cell r="AR132">
            <v>856.5</v>
          </cell>
          <cell r="AT132">
            <v>20.423765977399</v>
          </cell>
        </row>
        <row r="133">
          <cell r="D133">
            <v>856.5</v>
          </cell>
          <cell r="I133">
            <v>20.423765977399</v>
          </cell>
          <cell r="J133">
            <v>2.12042488089853</v>
          </cell>
          <cell r="K133">
            <v>-8.2747551855225907E-2</v>
          </cell>
          <cell r="L133">
            <v>1.0068878651676001</v>
          </cell>
          <cell r="AO133">
            <v>690</v>
          </cell>
          <cell r="AP133">
            <v>19.972999999999999</v>
          </cell>
          <cell r="AR133">
            <v>862</v>
          </cell>
          <cell r="AT133">
            <v>22.425700023331402</v>
          </cell>
        </row>
        <row r="134">
          <cell r="D134">
            <v>862</v>
          </cell>
          <cell r="I134">
            <v>22.425700023331402</v>
          </cell>
          <cell r="J134">
            <v>2.12920827712039</v>
          </cell>
          <cell r="K134">
            <v>-9.4053154209038994E-2</v>
          </cell>
          <cell r="L134">
            <v>1.01221606153504</v>
          </cell>
          <cell r="AO134">
            <v>695</v>
          </cell>
          <cell r="AP134">
            <v>20.173999999999999</v>
          </cell>
          <cell r="AR134">
            <v>866</v>
          </cell>
          <cell r="AT134">
            <v>23.7147745348786</v>
          </cell>
        </row>
        <row r="135">
          <cell r="D135">
            <v>866</v>
          </cell>
          <cell r="I135">
            <v>23.7147745348786</v>
          </cell>
          <cell r="J135">
            <v>2.1756916053745998</v>
          </cell>
          <cell r="K135">
            <v>-0.100953299306291</v>
          </cell>
          <cell r="L135">
            <v>1.00764226337694</v>
          </cell>
          <cell r="AO135">
            <v>700</v>
          </cell>
          <cell r="AP135">
            <v>19.245000000000001</v>
          </cell>
          <cell r="AR135">
            <v>869.5</v>
          </cell>
          <cell r="AT135">
            <v>25.184669240866999</v>
          </cell>
        </row>
        <row r="136">
          <cell r="D136">
            <v>869.5</v>
          </cell>
          <cell r="I136">
            <v>25.184669240866999</v>
          </cell>
          <cell r="J136">
            <v>2.2436842269178698</v>
          </cell>
          <cell r="K136">
            <v>-0.12328995086306201</v>
          </cell>
          <cell r="L136">
            <v>1.0213942480801099</v>
          </cell>
          <cell r="AO136">
            <v>705</v>
          </cell>
          <cell r="AP136">
            <v>19.311</v>
          </cell>
          <cell r="AR136">
            <v>872.5</v>
          </cell>
          <cell r="AT136">
            <v>22.938764084748399</v>
          </cell>
        </row>
        <row r="137">
          <cell r="D137">
            <v>872.5</v>
          </cell>
          <cell r="I137">
            <v>22.938764084748399</v>
          </cell>
          <cell r="J137">
            <v>2.2702607623178799</v>
          </cell>
          <cell r="K137">
            <v>-9.8505913564281802E-2</v>
          </cell>
          <cell r="L137">
            <v>1.0127639264783499</v>
          </cell>
          <cell r="AO137">
            <v>710</v>
          </cell>
          <cell r="AP137">
            <v>20.106999999999999</v>
          </cell>
          <cell r="AR137">
            <v>878</v>
          </cell>
          <cell r="AT137">
            <v>21.144736000919998</v>
          </cell>
        </row>
        <row r="138">
          <cell r="D138">
            <v>878</v>
          </cell>
          <cell r="I138">
            <v>21.144736000919998</v>
          </cell>
          <cell r="J138">
            <v>2.2138762675994399</v>
          </cell>
          <cell r="K138">
            <v>-9.9378587652605294E-2</v>
          </cell>
          <cell r="L138">
            <v>1.0169130011928</v>
          </cell>
          <cell r="AO138">
            <v>715</v>
          </cell>
          <cell r="AP138">
            <v>21.166</v>
          </cell>
          <cell r="AR138">
            <v>884</v>
          </cell>
          <cell r="AT138">
            <v>21.8548519450679</v>
          </cell>
        </row>
        <row r="139">
          <cell r="D139">
            <v>884</v>
          </cell>
          <cell r="I139">
            <v>21.8548519450679</v>
          </cell>
          <cell r="J139">
            <v>2.30120267091751</v>
          </cell>
          <cell r="K139">
            <v>-0.11804510158034499</v>
          </cell>
          <cell r="L139">
            <v>1.02474641274185</v>
          </cell>
          <cell r="AO139">
            <v>720</v>
          </cell>
          <cell r="AP139">
            <v>20.434999999999999</v>
          </cell>
          <cell r="AR139">
            <v>888</v>
          </cell>
          <cell r="AT139">
            <v>21.870994419086699</v>
          </cell>
        </row>
        <row r="140">
          <cell r="D140">
            <v>888</v>
          </cell>
          <cell r="I140">
            <v>21.870994419086699</v>
          </cell>
          <cell r="J140">
            <v>2.4438601697119502</v>
          </cell>
          <cell r="K140">
            <v>-0.123254226483306</v>
          </cell>
          <cell r="L140">
            <v>1.0123458134777401</v>
          </cell>
          <cell r="AO140">
            <v>725</v>
          </cell>
          <cell r="AP140">
            <v>20.440999999999999</v>
          </cell>
          <cell r="AR140">
            <v>895</v>
          </cell>
          <cell r="AT140">
            <v>22.415512104953699</v>
          </cell>
        </row>
        <row r="141">
          <cell r="D141">
            <v>895</v>
          </cell>
          <cell r="I141">
            <v>22.415512104953699</v>
          </cell>
          <cell r="J141">
            <v>2.32895826607235</v>
          </cell>
          <cell r="K141">
            <v>-0.110974872420448</v>
          </cell>
          <cell r="L141">
            <v>1.0147553282065001</v>
          </cell>
          <cell r="AO141">
            <v>730</v>
          </cell>
          <cell r="AP141">
            <v>21.1</v>
          </cell>
          <cell r="AR141">
            <v>905</v>
          </cell>
          <cell r="AT141">
            <v>25.839757869396799</v>
          </cell>
        </row>
        <row r="142">
          <cell r="D142">
            <v>905</v>
          </cell>
          <cell r="I142">
            <v>25.839757869396799</v>
          </cell>
          <cell r="J142">
            <v>2.3112293148760701</v>
          </cell>
          <cell r="K142">
            <v>-0.121827925856114</v>
          </cell>
          <cell r="L142">
            <v>1.01929204972504</v>
          </cell>
          <cell r="AO142">
            <v>735</v>
          </cell>
          <cell r="AP142">
            <v>21.225000000000001</v>
          </cell>
          <cell r="AR142">
            <v>915</v>
          </cell>
          <cell r="AT142">
            <v>23.7998553066097</v>
          </cell>
        </row>
        <row r="143">
          <cell r="D143">
            <v>915</v>
          </cell>
          <cell r="I143">
            <v>23.7998553066097</v>
          </cell>
          <cell r="J143">
            <v>2.3714738122217001</v>
          </cell>
          <cell r="K143">
            <v>-0.12484762314459499</v>
          </cell>
          <cell r="L143">
            <v>1.0215347364181599</v>
          </cell>
          <cell r="AO143">
            <v>740</v>
          </cell>
          <cell r="AP143">
            <v>20.501000000000001</v>
          </cell>
          <cell r="AR143">
            <v>925</v>
          </cell>
          <cell r="AT143">
            <v>24.5833512492935</v>
          </cell>
        </row>
        <row r="144">
          <cell r="D144">
            <v>925</v>
          </cell>
          <cell r="I144">
            <v>24.5833512492935</v>
          </cell>
          <cell r="J144">
            <v>2.2455317265243502</v>
          </cell>
          <cell r="K144">
            <v>-0.103977283554784</v>
          </cell>
          <cell r="L144">
            <v>1.01214816658422</v>
          </cell>
          <cell r="AO144">
            <v>745</v>
          </cell>
          <cell r="AP144">
            <v>20.234999999999999</v>
          </cell>
          <cell r="AR144">
            <v>933.5</v>
          </cell>
          <cell r="AT144">
            <v>27.7221694212855</v>
          </cell>
        </row>
        <row r="145">
          <cell r="D145">
            <v>933.5</v>
          </cell>
          <cell r="I145">
            <v>27.7221694212855</v>
          </cell>
          <cell r="J145">
            <v>2.2065681229738399</v>
          </cell>
          <cell r="K145">
            <v>-0.12752372689098199</v>
          </cell>
          <cell r="L145">
            <v>1.02912380691438</v>
          </cell>
          <cell r="AO145">
            <v>750</v>
          </cell>
          <cell r="AP145">
            <v>20.962</v>
          </cell>
          <cell r="AR145">
            <v>938.5</v>
          </cell>
          <cell r="AT145">
            <v>26.275818300023001</v>
          </cell>
        </row>
        <row r="146">
          <cell r="D146">
            <v>938.5</v>
          </cell>
          <cell r="I146">
            <v>26.275818300023001</v>
          </cell>
          <cell r="J146">
            <v>2.18728066586575</v>
          </cell>
          <cell r="K146">
            <v>-0.120896326986783</v>
          </cell>
          <cell r="L146">
            <v>1.0288504957982201</v>
          </cell>
          <cell r="AO146">
            <v>755</v>
          </cell>
          <cell r="AP146">
            <v>22.154</v>
          </cell>
          <cell r="AR146">
            <v>945</v>
          </cell>
          <cell r="AT146">
            <v>22.440341793269599</v>
          </cell>
        </row>
        <row r="147">
          <cell r="D147">
            <v>945</v>
          </cell>
          <cell r="I147">
            <v>22.440341793269599</v>
          </cell>
          <cell r="J147">
            <v>2.40853759375972</v>
          </cell>
          <cell r="K147">
            <v>-0.13170855221622499</v>
          </cell>
          <cell r="L147">
            <v>1.0172550763591699</v>
          </cell>
          <cell r="AO147">
            <v>760</v>
          </cell>
          <cell r="AP147">
            <v>21.887</v>
          </cell>
          <cell r="AR147">
            <v>952</v>
          </cell>
          <cell r="AT147">
            <v>20.2438356475304</v>
          </cell>
        </row>
        <row r="148">
          <cell r="D148">
            <v>952</v>
          </cell>
          <cell r="I148">
            <v>20.2438356475304</v>
          </cell>
          <cell r="J148">
            <v>2.2148341141199399</v>
          </cell>
          <cell r="K148">
            <v>-7.4172478478032294E-2</v>
          </cell>
          <cell r="L148">
            <v>1.00310045084318</v>
          </cell>
          <cell r="AO148">
            <v>765</v>
          </cell>
          <cell r="AP148">
            <v>21.297999999999998</v>
          </cell>
          <cell r="AR148">
            <v>957</v>
          </cell>
          <cell r="AT148">
            <v>26.163002677298</v>
          </cell>
        </row>
        <row r="149">
          <cell r="D149">
            <v>957</v>
          </cell>
          <cell r="I149">
            <v>26.163002677298</v>
          </cell>
          <cell r="J149">
            <v>2.23782571065178</v>
          </cell>
          <cell r="K149">
            <v>-0.109609081277177</v>
          </cell>
          <cell r="L149">
            <v>1.0163598222917301</v>
          </cell>
          <cell r="AO149">
            <v>770</v>
          </cell>
          <cell r="AP149">
            <v>21.492999999999999</v>
          </cell>
          <cell r="AR149">
            <v>962.5</v>
          </cell>
          <cell r="AT149">
            <v>26.545931799486201</v>
          </cell>
        </row>
        <row r="150">
          <cell r="D150">
            <v>962.5</v>
          </cell>
          <cell r="I150">
            <v>26.545931799486201</v>
          </cell>
          <cell r="J150">
            <v>2.25914653526659</v>
          </cell>
          <cell r="K150">
            <v>-0.115928064401216</v>
          </cell>
          <cell r="L150">
            <v>1.01954144383348</v>
          </cell>
          <cell r="AO150">
            <v>775</v>
          </cell>
          <cell r="AP150">
            <v>23.148</v>
          </cell>
          <cell r="AR150">
            <v>966</v>
          </cell>
          <cell r="AT150">
            <v>23.2340519146696</v>
          </cell>
        </row>
        <row r="151">
          <cell r="D151">
            <v>966</v>
          </cell>
          <cell r="I151">
            <v>23.2340519146696</v>
          </cell>
          <cell r="J151">
            <v>2.3528424900334599</v>
          </cell>
          <cell r="K151">
            <v>-0.124979784343734</v>
          </cell>
          <cell r="L151">
            <v>1.0130858701064001</v>
          </cell>
          <cell r="AO151">
            <v>780</v>
          </cell>
          <cell r="AP151">
            <v>24.797999999999998</v>
          </cell>
          <cell r="AR151">
            <v>970</v>
          </cell>
          <cell r="AT151">
            <v>22.519770477819499</v>
          </cell>
        </row>
        <row r="152">
          <cell r="D152">
            <v>970</v>
          </cell>
          <cell r="I152">
            <v>22.519770477819499</v>
          </cell>
          <cell r="J152">
            <v>2.29391924946137</v>
          </cell>
          <cell r="K152">
            <v>-0.11476931931610899</v>
          </cell>
          <cell r="L152">
            <v>1.01685453820537</v>
          </cell>
          <cell r="AO152">
            <v>785</v>
          </cell>
          <cell r="AP152">
            <v>23.809000000000001</v>
          </cell>
          <cell r="AR152">
            <v>975.5</v>
          </cell>
          <cell r="AT152">
            <v>21.674459720842702</v>
          </cell>
        </row>
        <row r="153">
          <cell r="D153">
            <v>975.5</v>
          </cell>
          <cell r="I153">
            <v>21.674459720842702</v>
          </cell>
          <cell r="J153">
            <v>2.4343267490141902</v>
          </cell>
          <cell r="K153">
            <v>-0.12628323734497501</v>
          </cell>
          <cell r="L153">
            <v>1.00797320125</v>
          </cell>
          <cell r="AO153">
            <v>790</v>
          </cell>
          <cell r="AP153">
            <v>22.416</v>
          </cell>
          <cell r="AR153">
            <v>984</v>
          </cell>
          <cell r="AT153">
            <v>22.658623552479401</v>
          </cell>
        </row>
        <row r="154">
          <cell r="D154">
            <v>984</v>
          </cell>
          <cell r="I154">
            <v>22.658623552479401</v>
          </cell>
          <cell r="J154">
            <v>2.3400777016441401</v>
          </cell>
          <cell r="K154">
            <v>-0.12398491486964799</v>
          </cell>
          <cell r="L154">
            <v>1.00991029899044</v>
          </cell>
          <cell r="AO154">
            <v>795</v>
          </cell>
          <cell r="AP154">
            <v>22.023</v>
          </cell>
          <cell r="AR154">
            <v>995</v>
          </cell>
          <cell r="AU154">
            <v>24.405778022076401</v>
          </cell>
        </row>
        <row r="155">
          <cell r="D155">
            <v>995</v>
          </cell>
          <cell r="I155">
            <v>24.405778022076401</v>
          </cell>
          <cell r="J155">
            <v>2.3637389846386601</v>
          </cell>
          <cell r="K155">
            <v>-0.12767545990312301</v>
          </cell>
          <cell r="L155">
            <v>1.01375178557004</v>
          </cell>
          <cell r="AO155">
            <v>800</v>
          </cell>
          <cell r="AP155">
            <v>21.692</v>
          </cell>
          <cell r="AR155">
            <v>1008</v>
          </cell>
          <cell r="AU155">
            <v>25.6558797274553</v>
          </cell>
        </row>
        <row r="156">
          <cell r="D156">
            <v>1008</v>
          </cell>
          <cell r="I156">
            <v>25.6558797274553</v>
          </cell>
          <cell r="J156">
            <v>2.22729164719687</v>
          </cell>
          <cell r="K156">
            <v>-0.11462459426562099</v>
          </cell>
          <cell r="L156">
            <v>1.0128536489981701</v>
          </cell>
          <cell r="AO156">
            <v>805</v>
          </cell>
          <cell r="AP156">
            <v>22.617000000000001</v>
          </cell>
          <cell r="AR156">
            <v>1018</v>
          </cell>
          <cell r="AU156">
            <v>30.944411706937299</v>
          </cell>
        </row>
        <row r="157">
          <cell r="D157">
            <v>1018</v>
          </cell>
          <cell r="I157">
            <v>30.944411706937299</v>
          </cell>
          <cell r="J157">
            <v>2.27686437308689</v>
          </cell>
          <cell r="K157">
            <v>-0.14656383524369701</v>
          </cell>
          <cell r="L157">
            <v>1.0216280393008399</v>
          </cell>
          <cell r="AO157">
            <v>810</v>
          </cell>
          <cell r="AP157">
            <v>21.622</v>
          </cell>
          <cell r="AR157">
            <v>1025</v>
          </cell>
          <cell r="AU157">
            <v>22.463378330437301</v>
          </cell>
        </row>
        <row r="158">
          <cell r="D158">
            <v>1025</v>
          </cell>
          <cell r="I158">
            <v>22.463378330437301</v>
          </cell>
          <cell r="J158">
            <v>2.3395449322658002</v>
          </cell>
          <cell r="K158">
            <v>-0.100403029627183</v>
          </cell>
          <cell r="L158">
            <v>0.99803779314161201</v>
          </cell>
          <cell r="AO158">
            <v>815</v>
          </cell>
          <cell r="AP158">
            <v>19.178999999999998</v>
          </cell>
          <cell r="AR158">
            <v>1035</v>
          </cell>
          <cell r="AU158">
            <v>22.8876108795967</v>
          </cell>
        </row>
        <row r="159">
          <cell r="D159">
            <v>1035</v>
          </cell>
          <cell r="I159">
            <v>22.8876108795967</v>
          </cell>
          <cell r="J159">
            <v>2.1829021371128499</v>
          </cell>
          <cell r="K159">
            <v>-8.2248701786727899E-2</v>
          </cell>
          <cell r="L159">
            <v>1.00616983219963</v>
          </cell>
          <cell r="AO159">
            <v>820</v>
          </cell>
          <cell r="AP159">
            <v>18.315999999999999</v>
          </cell>
          <cell r="AR159">
            <v>1045.5</v>
          </cell>
          <cell r="AU159">
            <v>28.373998431333</v>
          </cell>
        </row>
        <row r="160">
          <cell r="D160">
            <v>1045.5</v>
          </cell>
          <cell r="I160">
            <v>28.373998431333</v>
          </cell>
          <cell r="J160">
            <v>2.3305219666510202</v>
          </cell>
          <cell r="K160">
            <v>-0.115755583330132</v>
          </cell>
          <cell r="L160">
            <v>0.99742980135725101</v>
          </cell>
          <cell r="AO160">
            <v>825</v>
          </cell>
          <cell r="AP160">
            <v>21.954999999999998</v>
          </cell>
          <cell r="AR160">
            <v>1055.5</v>
          </cell>
          <cell r="AU160">
            <v>31.817065350673701</v>
          </cell>
        </row>
        <row r="161">
          <cell r="D161">
            <v>1055.5</v>
          </cell>
          <cell r="I161">
            <v>31.817065350673701</v>
          </cell>
          <cell r="J161">
            <v>2.2749095239203898</v>
          </cell>
          <cell r="K161">
            <v>-0.150344143729641</v>
          </cell>
          <cell r="L161">
            <v>1.01731950790577</v>
          </cell>
          <cell r="AO161">
            <v>830</v>
          </cell>
          <cell r="AP161">
            <v>21.425999999999998</v>
          </cell>
          <cell r="AR161">
            <v>1065.5</v>
          </cell>
          <cell r="AU161">
            <v>26.092082091729299</v>
          </cell>
        </row>
        <row r="162">
          <cell r="D162">
            <v>1065.5</v>
          </cell>
          <cell r="I162">
            <v>26.092082091729299</v>
          </cell>
          <cell r="J162">
            <v>2.17819750017647</v>
          </cell>
          <cell r="K162">
            <v>-0.12671743169870001</v>
          </cell>
          <cell r="L162">
            <v>1.02593609470415</v>
          </cell>
          <cell r="AO162">
            <v>835</v>
          </cell>
          <cell r="AP162">
            <v>20.963000000000001</v>
          </cell>
          <cell r="AR162">
            <v>1075.5</v>
          </cell>
          <cell r="AU162">
            <v>22.6500268327468</v>
          </cell>
        </row>
        <row r="163">
          <cell r="D163">
            <v>1075.5</v>
          </cell>
          <cell r="I163">
            <v>22.6500268327468</v>
          </cell>
          <cell r="J163">
            <v>2.2678108166039799</v>
          </cell>
          <cell r="K163">
            <v>-0.12214664288428401</v>
          </cell>
          <cell r="L163">
            <v>1.0168754517190599</v>
          </cell>
          <cell r="AO163">
            <v>840</v>
          </cell>
          <cell r="AP163">
            <v>19.245000000000001</v>
          </cell>
          <cell r="AR163">
            <v>1085.5</v>
          </cell>
          <cell r="AU163">
            <v>24.967764084486099</v>
          </cell>
        </row>
        <row r="164">
          <cell r="D164">
            <v>1085.5</v>
          </cell>
          <cell r="I164">
            <v>24.967764084486099</v>
          </cell>
          <cell r="J164">
            <v>2.2918124532341002</v>
          </cell>
          <cell r="K164">
            <v>-0.11550538665217699</v>
          </cell>
          <cell r="L164">
            <v>1.0084526222302499</v>
          </cell>
          <cell r="AO164">
            <v>845</v>
          </cell>
          <cell r="AP164">
            <v>20.035</v>
          </cell>
          <cell r="AR164">
            <v>1095.5</v>
          </cell>
          <cell r="AU164">
            <v>23.221284194452899</v>
          </cell>
        </row>
        <row r="165">
          <cell r="D165">
            <v>1095.5</v>
          </cell>
          <cell r="I165">
            <v>23.221284194452899</v>
          </cell>
          <cell r="J165">
            <v>2.22572441435466</v>
          </cell>
          <cell r="K165">
            <v>-0.10608901736080401</v>
          </cell>
          <cell r="L165">
            <v>1.0065824230389699</v>
          </cell>
          <cell r="AO165">
            <v>850</v>
          </cell>
          <cell r="AP165">
            <v>22.484999999999999</v>
          </cell>
          <cell r="AR165">
            <v>1105.5</v>
          </cell>
          <cell r="AU165">
            <v>23.428100200372</v>
          </cell>
        </row>
        <row r="166">
          <cell r="D166">
            <v>1105.5</v>
          </cell>
          <cell r="I166">
            <v>23.428100200372</v>
          </cell>
          <cell r="J166">
            <v>2.2492255209722698</v>
          </cell>
          <cell r="K166">
            <v>-0.116532253127885</v>
          </cell>
          <cell r="L166">
            <v>1.0141446504306</v>
          </cell>
          <cell r="AO166">
            <v>855</v>
          </cell>
          <cell r="AP166">
            <v>21.885999999999999</v>
          </cell>
          <cell r="AR166">
            <v>1115.5</v>
          </cell>
          <cell r="AU166">
            <v>26.161404319970501</v>
          </cell>
        </row>
        <row r="167">
          <cell r="D167">
            <v>1115.5</v>
          </cell>
          <cell r="I167">
            <v>26.161404319970501</v>
          </cell>
          <cell r="J167">
            <v>2.2104668332733199</v>
          </cell>
          <cell r="K167">
            <v>-0.124531811234638</v>
          </cell>
          <cell r="L167">
            <v>1.0211723501460599</v>
          </cell>
          <cell r="AO167">
            <v>860</v>
          </cell>
          <cell r="AP167">
            <v>20.763000000000002</v>
          </cell>
          <cell r="AR167">
            <v>1125.5</v>
          </cell>
          <cell r="AU167">
            <v>20.912592325967399</v>
          </cell>
        </row>
        <row r="168">
          <cell r="D168">
            <v>1125.5</v>
          </cell>
          <cell r="I168">
            <v>20.912592325967399</v>
          </cell>
          <cell r="J168">
            <v>2.29259269860166</v>
          </cell>
          <cell r="K168">
            <v>-8.3802201574057295E-2</v>
          </cell>
          <cell r="L168">
            <v>0.97948613513360405</v>
          </cell>
          <cell r="AO168">
            <v>865</v>
          </cell>
          <cell r="AP168">
            <v>20.501999999999999</v>
          </cell>
          <cell r="AR168">
            <v>1135.5</v>
          </cell>
          <cell r="AU168">
            <v>26.531245295093001</v>
          </cell>
        </row>
        <row r="169">
          <cell r="D169">
            <v>1135.5</v>
          </cell>
          <cell r="I169">
            <v>26.531245295093001</v>
          </cell>
          <cell r="J169">
            <v>2.2688611902023301</v>
          </cell>
          <cell r="K169">
            <v>-0.11119955506630801</v>
          </cell>
          <cell r="L169">
            <v>0.99732207273602302</v>
          </cell>
          <cell r="AO169">
            <v>870</v>
          </cell>
          <cell r="AP169">
            <v>22.288</v>
          </cell>
          <cell r="AR169">
            <v>1145.5</v>
          </cell>
          <cell r="AU169">
            <v>30.0968294411906</v>
          </cell>
        </row>
        <row r="170">
          <cell r="D170">
            <v>1145.5</v>
          </cell>
          <cell r="I170">
            <v>30.0968294411906</v>
          </cell>
          <cell r="J170">
            <v>2.3261309096859999</v>
          </cell>
          <cell r="K170">
            <v>-0.135797630205577</v>
          </cell>
          <cell r="L170">
            <v>0.99338817102429999</v>
          </cell>
          <cell r="AO170">
            <v>875</v>
          </cell>
          <cell r="AP170">
            <v>21.163</v>
          </cell>
          <cell r="AR170">
            <v>1155.5</v>
          </cell>
          <cell r="AU170">
            <v>31.3845241727815</v>
          </cell>
        </row>
        <row r="171">
          <cell r="D171">
            <v>1155.5</v>
          </cell>
          <cell r="I171">
            <v>31.3845241727815</v>
          </cell>
          <cell r="J171">
            <v>2.3656274215893198</v>
          </cell>
          <cell r="K171">
            <v>-0.13603753584388201</v>
          </cell>
          <cell r="L171">
            <v>0.98742030496210897</v>
          </cell>
          <cell r="AO171">
            <v>880</v>
          </cell>
          <cell r="AP171">
            <v>20.303000000000001</v>
          </cell>
          <cell r="AR171">
            <v>1165.5</v>
          </cell>
          <cell r="AU171">
            <v>34.2170365706993</v>
          </cell>
        </row>
        <row r="172">
          <cell r="D172">
            <v>1165.5</v>
          </cell>
          <cell r="I172">
            <v>34.2170365706993</v>
          </cell>
          <cell r="J172">
            <v>2.39989110168578</v>
          </cell>
          <cell r="K172">
            <v>-0.15256835170320099</v>
          </cell>
          <cell r="L172">
            <v>0.98363140646320402</v>
          </cell>
          <cell r="AO172">
            <v>885</v>
          </cell>
          <cell r="AP172">
            <v>19.838999999999999</v>
          </cell>
          <cell r="AR172">
            <v>1175.5</v>
          </cell>
          <cell r="AU172">
            <v>31.428863388390099</v>
          </cell>
        </row>
        <row r="173">
          <cell r="D173">
            <v>1175.5</v>
          </cell>
          <cell r="I173">
            <v>31.428863388390099</v>
          </cell>
          <cell r="J173">
            <v>2.3760389427283699</v>
          </cell>
          <cell r="K173">
            <v>-0.13523107847687299</v>
          </cell>
          <cell r="L173">
            <v>0.98519668601685795</v>
          </cell>
          <cell r="AO173">
            <v>890</v>
          </cell>
          <cell r="AP173">
            <v>22.088999999999999</v>
          </cell>
          <cell r="AR173">
            <v>1185.5</v>
          </cell>
          <cell r="AU173">
            <v>36.042369601176603</v>
          </cell>
        </row>
        <row r="174">
          <cell r="D174">
            <v>1185.5</v>
          </cell>
          <cell r="I174">
            <v>36.042369601176603</v>
          </cell>
          <cell r="J174">
            <v>2.4601313921123098</v>
          </cell>
          <cell r="K174">
            <v>-0.16786290951459301</v>
          </cell>
          <cell r="L174">
            <v>0.97461590135102705</v>
          </cell>
          <cell r="AO174">
            <v>895</v>
          </cell>
          <cell r="AP174">
            <v>22.745999999999999</v>
          </cell>
          <cell r="AR174">
            <v>1195.5</v>
          </cell>
          <cell r="AU174">
            <v>36.4168033904621</v>
          </cell>
        </row>
        <row r="175">
          <cell r="D175">
            <v>1195.5</v>
          </cell>
          <cell r="I175">
            <v>36.4168033904621</v>
          </cell>
          <cell r="J175">
            <v>2.4667631206082699</v>
          </cell>
          <cell r="K175">
            <v>-0.177166325300877</v>
          </cell>
          <cell r="L175">
            <v>0.97399259066011901</v>
          </cell>
          <cell r="AO175">
            <v>900</v>
          </cell>
          <cell r="AP175">
            <v>21.428000000000001</v>
          </cell>
          <cell r="AR175">
            <v>1205.5</v>
          </cell>
          <cell r="AU175">
            <v>36.650619035015403</v>
          </cell>
        </row>
        <row r="176">
          <cell r="D176">
            <v>1205.5</v>
          </cell>
          <cell r="I176">
            <v>36.650619035015403</v>
          </cell>
          <cell r="J176">
            <v>2.4538230809741699</v>
          </cell>
          <cell r="K176">
            <v>-0.177337115978216</v>
          </cell>
          <cell r="L176">
            <v>0.97947501135081705</v>
          </cell>
          <cell r="AO176">
            <v>905</v>
          </cell>
          <cell r="AP176">
            <v>19.111999999999998</v>
          </cell>
          <cell r="AR176">
            <v>1214</v>
          </cell>
          <cell r="AU176">
            <v>37.096352002279303</v>
          </cell>
        </row>
        <row r="177">
          <cell r="D177">
            <v>1214</v>
          </cell>
          <cell r="I177">
            <v>37.096352002279303</v>
          </cell>
          <cell r="J177">
            <v>2.4651563768907798</v>
          </cell>
          <cell r="K177">
            <v>-0.180155558488656</v>
          </cell>
          <cell r="L177">
            <v>0.97828166544775697</v>
          </cell>
          <cell r="AO177">
            <v>910</v>
          </cell>
          <cell r="AP177">
            <v>18.911000000000001</v>
          </cell>
          <cell r="AR177">
            <v>1219.5</v>
          </cell>
          <cell r="AU177">
            <v>37.201112525182403</v>
          </cell>
        </row>
        <row r="178">
          <cell r="D178">
            <v>1219.5</v>
          </cell>
          <cell r="I178">
            <v>37.201112525182403</v>
          </cell>
          <cell r="J178">
            <v>2.47678352766646</v>
          </cell>
          <cell r="K178">
            <v>-0.18444873219966201</v>
          </cell>
          <cell r="L178">
            <v>0.97481102873440595</v>
          </cell>
          <cell r="AO178">
            <v>915</v>
          </cell>
          <cell r="AP178">
            <v>21.693000000000001</v>
          </cell>
        </row>
        <row r="179">
          <cell r="AO179">
            <v>920</v>
          </cell>
          <cell r="AP179">
            <v>22.882999999999999</v>
          </cell>
        </row>
        <row r="180">
          <cell r="AO180">
            <v>925</v>
          </cell>
          <cell r="AP180">
            <v>22.216999999999999</v>
          </cell>
        </row>
        <row r="181">
          <cell r="AO181">
            <v>930</v>
          </cell>
          <cell r="AP181">
            <v>21.954999999999998</v>
          </cell>
        </row>
        <row r="182">
          <cell r="AO182">
            <v>935</v>
          </cell>
          <cell r="AP182">
            <v>21.89</v>
          </cell>
        </row>
        <row r="183">
          <cell r="AO183">
            <v>940</v>
          </cell>
          <cell r="AP183">
            <v>20.704000000000001</v>
          </cell>
        </row>
        <row r="184">
          <cell r="AO184">
            <v>945</v>
          </cell>
          <cell r="AP184">
            <v>19.446000000000002</v>
          </cell>
        </row>
        <row r="185">
          <cell r="AO185">
            <v>950</v>
          </cell>
          <cell r="AP185">
            <v>22.027000000000001</v>
          </cell>
        </row>
        <row r="186">
          <cell r="AO186">
            <v>955</v>
          </cell>
          <cell r="AP186">
            <v>21.099</v>
          </cell>
        </row>
        <row r="187">
          <cell r="AO187">
            <v>960</v>
          </cell>
          <cell r="AP187">
            <v>20.372</v>
          </cell>
        </row>
        <row r="188">
          <cell r="AO188">
            <v>965</v>
          </cell>
          <cell r="AP188">
            <v>20.306999999999999</v>
          </cell>
        </row>
        <row r="189">
          <cell r="AO189">
            <v>970</v>
          </cell>
          <cell r="AP189">
            <v>24.472000000000001</v>
          </cell>
        </row>
        <row r="190">
          <cell r="AO190">
            <v>975</v>
          </cell>
          <cell r="AP190">
            <v>22.355</v>
          </cell>
        </row>
        <row r="191">
          <cell r="AO191">
            <v>980</v>
          </cell>
          <cell r="AP191">
            <v>23.477</v>
          </cell>
        </row>
        <row r="192">
          <cell r="AO192">
            <v>985</v>
          </cell>
          <cell r="AP192">
            <v>23.806000000000001</v>
          </cell>
        </row>
        <row r="193">
          <cell r="AO193">
            <v>990</v>
          </cell>
          <cell r="AP193">
            <v>24.728999999999999</v>
          </cell>
        </row>
        <row r="194">
          <cell r="AO194">
            <v>995</v>
          </cell>
          <cell r="AP194">
            <v>23.606000000000002</v>
          </cell>
        </row>
        <row r="195">
          <cell r="AO195">
            <v>1000</v>
          </cell>
          <cell r="AP195">
            <v>23.074999999999999</v>
          </cell>
        </row>
        <row r="196">
          <cell r="AO196">
            <v>1005</v>
          </cell>
          <cell r="AP196">
            <v>22.55</v>
          </cell>
        </row>
        <row r="197">
          <cell r="AO197">
            <v>1010</v>
          </cell>
          <cell r="AP197">
            <v>21.885000000000002</v>
          </cell>
        </row>
        <row r="198">
          <cell r="AO198">
            <v>1015</v>
          </cell>
          <cell r="AP198">
            <v>21.89</v>
          </cell>
        </row>
        <row r="199">
          <cell r="AO199">
            <v>1020</v>
          </cell>
          <cell r="AP199">
            <v>22.413</v>
          </cell>
        </row>
        <row r="200">
          <cell r="AO200">
            <v>1025</v>
          </cell>
          <cell r="AP200">
            <v>22.48</v>
          </cell>
        </row>
        <row r="201">
          <cell r="AO201">
            <v>1030</v>
          </cell>
          <cell r="AP201">
            <v>20.762</v>
          </cell>
        </row>
        <row r="202">
          <cell r="AO202">
            <v>1035</v>
          </cell>
          <cell r="AP202">
            <v>20.109000000000002</v>
          </cell>
        </row>
        <row r="203">
          <cell r="AO203">
            <v>1040</v>
          </cell>
          <cell r="AP203">
            <v>20.367999999999999</v>
          </cell>
        </row>
        <row r="204">
          <cell r="AO204">
            <v>1045</v>
          </cell>
          <cell r="AP204">
            <v>20.303999999999998</v>
          </cell>
        </row>
        <row r="205">
          <cell r="AO205">
            <v>1050</v>
          </cell>
          <cell r="AP205">
            <v>20.305</v>
          </cell>
        </row>
        <row r="206">
          <cell r="AO206">
            <v>1055</v>
          </cell>
          <cell r="AP206">
            <v>20.105</v>
          </cell>
        </row>
        <row r="207">
          <cell r="AO207">
            <v>1060</v>
          </cell>
          <cell r="AP207">
            <v>21.693999999999999</v>
          </cell>
        </row>
        <row r="208">
          <cell r="AO208">
            <v>1065</v>
          </cell>
          <cell r="AP208">
            <v>22.617000000000001</v>
          </cell>
        </row>
        <row r="209">
          <cell r="AO209">
            <v>1070</v>
          </cell>
          <cell r="AP209">
            <v>23.079000000000001</v>
          </cell>
        </row>
        <row r="210">
          <cell r="AO210">
            <v>1075</v>
          </cell>
          <cell r="AP210">
            <v>24.535</v>
          </cell>
        </row>
        <row r="211">
          <cell r="AO211">
            <v>1080</v>
          </cell>
          <cell r="AP211">
            <v>26.056000000000001</v>
          </cell>
        </row>
        <row r="212">
          <cell r="AO212">
            <v>1085</v>
          </cell>
          <cell r="AP212">
            <v>24.934000000000001</v>
          </cell>
        </row>
        <row r="213">
          <cell r="AO213">
            <v>1090</v>
          </cell>
          <cell r="AP213">
            <v>25.196000000000002</v>
          </cell>
        </row>
        <row r="214">
          <cell r="AO214">
            <v>1095</v>
          </cell>
          <cell r="AP214">
            <v>22.748999999999999</v>
          </cell>
        </row>
        <row r="215">
          <cell r="AO215">
            <v>1100</v>
          </cell>
          <cell r="AP215">
            <v>24.87</v>
          </cell>
        </row>
        <row r="216">
          <cell r="AO216">
            <v>1105</v>
          </cell>
          <cell r="AP216">
            <v>25.068999999999999</v>
          </cell>
        </row>
        <row r="217">
          <cell r="AO217">
            <v>1110</v>
          </cell>
          <cell r="AP217">
            <v>23.547000000000001</v>
          </cell>
        </row>
        <row r="218">
          <cell r="AO218">
            <v>1115</v>
          </cell>
          <cell r="AP218">
            <v>23.414999999999999</v>
          </cell>
        </row>
        <row r="219">
          <cell r="AO219">
            <v>1120</v>
          </cell>
          <cell r="AP219">
            <v>24.803000000000001</v>
          </cell>
        </row>
        <row r="220">
          <cell r="AO220">
            <v>1125</v>
          </cell>
          <cell r="AP220">
            <v>24.600999999999999</v>
          </cell>
        </row>
        <row r="221">
          <cell r="AO221">
            <v>1130</v>
          </cell>
          <cell r="AP221">
            <v>23.742999999999999</v>
          </cell>
        </row>
        <row r="222">
          <cell r="AO222">
            <v>1135</v>
          </cell>
          <cell r="AP222">
            <v>23.341000000000001</v>
          </cell>
        </row>
        <row r="223">
          <cell r="AO223">
            <v>1140</v>
          </cell>
          <cell r="AP223">
            <v>23.077000000000002</v>
          </cell>
        </row>
        <row r="224">
          <cell r="AO224">
            <v>1145</v>
          </cell>
          <cell r="AP224">
            <v>23.61</v>
          </cell>
        </row>
        <row r="225">
          <cell r="AO225">
            <v>1150</v>
          </cell>
          <cell r="AP225">
            <v>23.411000000000001</v>
          </cell>
        </row>
        <row r="226">
          <cell r="AO226">
            <v>1155</v>
          </cell>
          <cell r="AP226">
            <v>22.745000000000001</v>
          </cell>
        </row>
        <row r="227">
          <cell r="AO227">
            <v>1160</v>
          </cell>
          <cell r="AP227">
            <v>22.550999999999998</v>
          </cell>
        </row>
        <row r="228">
          <cell r="AO228">
            <v>1165</v>
          </cell>
          <cell r="AP228">
            <v>23.146999999999998</v>
          </cell>
        </row>
        <row r="229">
          <cell r="AO229">
            <v>1170</v>
          </cell>
          <cell r="AP229">
            <v>22.748000000000001</v>
          </cell>
        </row>
        <row r="230">
          <cell r="AO230">
            <v>1175</v>
          </cell>
          <cell r="AP230">
            <v>22.48</v>
          </cell>
        </row>
        <row r="231">
          <cell r="AO231">
            <v>1180</v>
          </cell>
          <cell r="AP231">
            <v>22.221</v>
          </cell>
        </row>
        <row r="232">
          <cell r="AO232">
            <v>1185</v>
          </cell>
          <cell r="AP232">
            <v>22.814</v>
          </cell>
        </row>
        <row r="233">
          <cell r="AO233">
            <v>1190</v>
          </cell>
          <cell r="AP233">
            <v>22.419</v>
          </cell>
        </row>
        <row r="234">
          <cell r="AO234">
            <v>1195</v>
          </cell>
          <cell r="AP234">
            <v>22.021000000000001</v>
          </cell>
        </row>
        <row r="235">
          <cell r="AO235">
            <v>1200</v>
          </cell>
          <cell r="AP235">
            <v>20.7</v>
          </cell>
        </row>
        <row r="236">
          <cell r="AO236">
            <v>1205</v>
          </cell>
          <cell r="AP236">
            <v>19.969000000000001</v>
          </cell>
        </row>
        <row r="237">
          <cell r="AO237">
            <v>1210</v>
          </cell>
          <cell r="AP237">
            <v>19.047000000000001</v>
          </cell>
        </row>
        <row r="238">
          <cell r="AO238">
            <v>1215</v>
          </cell>
          <cell r="AP238">
            <v>19.045000000000002</v>
          </cell>
        </row>
        <row r="239">
          <cell r="AO239">
            <v>1220</v>
          </cell>
          <cell r="AP239">
            <v>16.997</v>
          </cell>
        </row>
        <row r="240">
          <cell r="AO240">
            <v>1225</v>
          </cell>
          <cell r="AP240">
            <v>12.827999999999999</v>
          </cell>
        </row>
        <row r="241">
          <cell r="AO241">
            <v>1230</v>
          </cell>
          <cell r="AP241">
            <v>6.1479999999999997</v>
          </cell>
        </row>
        <row r="242">
          <cell r="AO242">
            <v>1235</v>
          </cell>
          <cell r="AP242">
            <v>2.383</v>
          </cell>
        </row>
        <row r="243">
          <cell r="AO243">
            <v>1240</v>
          </cell>
          <cell r="AP243">
            <v>0.86199999999999999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115C-F40D-476A-ADD3-34D5F7BCDFF2}">
  <dimension ref="A1:Q244"/>
  <sheetViews>
    <sheetView tabSelected="1" topLeftCell="B1" zoomScale="79" zoomScaleNormal="38" workbookViewId="0">
      <selection activeCell="M1" sqref="M1"/>
    </sheetView>
  </sheetViews>
  <sheetFormatPr defaultRowHeight="14.65"/>
  <cols>
    <col min="1" max="1" width="11.140625" bestFit="1" customWidth="1"/>
    <col min="2" max="2" width="9.85546875" bestFit="1" customWidth="1"/>
    <col min="3" max="3" width="9.5703125" bestFit="1" customWidth="1"/>
    <col min="4" max="4" width="14" bestFit="1" customWidth="1"/>
    <col min="5" max="5" width="13.42578125" bestFit="1" customWidth="1"/>
    <col min="6" max="6" width="10.42578125" bestFit="1" customWidth="1"/>
    <col min="7" max="7" width="12.140625" bestFit="1" customWidth="1"/>
    <col min="8" max="9" width="11.85546875" bestFit="1" customWidth="1"/>
    <col min="10" max="10" width="12.42578125" bestFit="1" customWidth="1"/>
    <col min="11" max="11" width="11.85546875" bestFit="1" customWidth="1"/>
    <col min="12" max="12" width="8.42578125" bestFit="1" customWidth="1"/>
    <col min="13" max="13" width="13.5703125" customWidth="1"/>
    <col min="14" max="14" width="7" bestFit="1" customWidth="1"/>
    <col min="15" max="15" width="8.28515625" bestFit="1" customWidth="1"/>
    <col min="16" max="16" width="5.85546875" bestFit="1" customWidth="1"/>
  </cols>
  <sheetData>
    <row r="1" spans="1:1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/>
      <c r="J1" s="11"/>
      <c r="K1" s="11"/>
      <c r="L1" s="11" t="s">
        <v>8</v>
      </c>
      <c r="M1" t="s">
        <v>9</v>
      </c>
      <c r="O1" t="s">
        <v>10</v>
      </c>
    </row>
    <row r="2" spans="1:17">
      <c r="A2" s="11"/>
      <c r="B2" s="11"/>
      <c r="C2" s="11"/>
      <c r="D2" s="11"/>
      <c r="E2" s="11"/>
      <c r="F2" s="11"/>
      <c r="G2" s="11"/>
      <c r="H2" s="1" t="s">
        <v>11</v>
      </c>
      <c r="I2" s="1" t="s">
        <v>12</v>
      </c>
      <c r="J2" s="1" t="s">
        <v>13</v>
      </c>
      <c r="K2" s="1" t="s">
        <v>14</v>
      </c>
      <c r="L2" s="11"/>
      <c r="M2" t="s">
        <v>15</v>
      </c>
      <c r="N2" t="s">
        <v>16</v>
      </c>
      <c r="O2" s="8" t="s">
        <v>17</v>
      </c>
      <c r="P2" s="8" t="s">
        <v>18</v>
      </c>
      <c r="Q2" t="s">
        <v>19</v>
      </c>
    </row>
    <row r="3" spans="1:17">
      <c r="A3" s="3" t="s">
        <v>20</v>
      </c>
      <c r="B3" s="3">
        <v>20</v>
      </c>
      <c r="C3" s="3">
        <v>22</v>
      </c>
      <c r="D3" s="3">
        <f>B3+(C3-B3)/2</f>
        <v>21</v>
      </c>
      <c r="E3" s="3">
        <v>0.33600000000000002</v>
      </c>
      <c r="F3" s="3">
        <v>1.0589999999999999</v>
      </c>
      <c r="G3" s="3" t="s">
        <v>21</v>
      </c>
      <c r="H3" s="3">
        <v>18.7335153936476</v>
      </c>
      <c r="I3" s="3">
        <v>2.2390071462300098</v>
      </c>
      <c r="J3" s="3">
        <v>-8.6735008121244406E-2</v>
      </c>
      <c r="K3" s="3">
        <v>1.0022412549700901</v>
      </c>
      <c r="L3" s="3">
        <v>7.7099000000000002</v>
      </c>
      <c r="M3">
        <v>35</v>
      </c>
      <c r="N3" s="9">
        <v>17.724</v>
      </c>
      <c r="O3">
        <v>35</v>
      </c>
      <c r="P3">
        <v>41.18</v>
      </c>
      <c r="Q3">
        <v>28881.25</v>
      </c>
    </row>
    <row r="4" spans="1:17">
      <c r="A4" s="3" t="s">
        <v>22</v>
      </c>
      <c r="B4" s="3">
        <v>25</v>
      </c>
      <c r="C4" s="3">
        <v>35</v>
      </c>
      <c r="D4" s="3">
        <f t="shared" ref="D4:D67" si="0">B4+(C4-B4)/2</f>
        <v>30</v>
      </c>
      <c r="E4" s="3">
        <v>0.314</v>
      </c>
      <c r="F4" s="3">
        <v>1.002</v>
      </c>
      <c r="G4" s="3" t="s">
        <v>21</v>
      </c>
      <c r="H4" s="3">
        <v>18.8993612138174</v>
      </c>
      <c r="I4" s="3">
        <v>2.2181173431859298</v>
      </c>
      <c r="J4" s="3">
        <v>-9.8219004818876701E-2</v>
      </c>
      <c r="K4" s="3">
        <v>1.00536363127392</v>
      </c>
      <c r="L4" s="3">
        <v>9.0305</v>
      </c>
      <c r="M4">
        <v>40</v>
      </c>
      <c r="N4" s="10">
        <v>17.065999999999999</v>
      </c>
      <c r="O4">
        <v>40</v>
      </c>
      <c r="P4">
        <v>40.46</v>
      </c>
      <c r="Q4">
        <v>28985.51</v>
      </c>
    </row>
    <row r="5" spans="1:17">
      <c r="A5" s="3" t="s">
        <v>23</v>
      </c>
      <c r="B5" s="3">
        <v>40</v>
      </c>
      <c r="C5" s="3">
        <v>46</v>
      </c>
      <c r="D5" s="3">
        <f t="shared" si="0"/>
        <v>43</v>
      </c>
      <c r="E5" s="3">
        <v>0.34899999999999998</v>
      </c>
      <c r="F5" s="3">
        <v>1.024</v>
      </c>
      <c r="G5" s="3" t="s">
        <v>21</v>
      </c>
      <c r="H5" s="3">
        <v>16.707771934454598</v>
      </c>
      <c r="I5" s="3">
        <v>2.37037687661411</v>
      </c>
      <c r="J5" s="3">
        <v>-9.1726697655726303E-2</v>
      </c>
      <c r="K5" s="3">
        <v>0.99045751353044398</v>
      </c>
      <c r="L5" s="3">
        <v>8.9145000000000003</v>
      </c>
      <c r="M5">
        <v>45</v>
      </c>
      <c r="N5" s="9">
        <v>17.529</v>
      </c>
      <c r="O5">
        <v>45</v>
      </c>
      <c r="P5">
        <v>41.65</v>
      </c>
      <c r="Q5">
        <v>28719.73</v>
      </c>
    </row>
    <row r="6" spans="1:17">
      <c r="A6" s="3" t="s">
        <v>24</v>
      </c>
      <c r="B6" s="3">
        <v>48</v>
      </c>
      <c r="C6" s="3">
        <v>50</v>
      </c>
      <c r="D6" s="3">
        <f t="shared" si="0"/>
        <v>49</v>
      </c>
      <c r="E6" s="3">
        <v>0.35899999999999999</v>
      </c>
      <c r="F6" s="3">
        <v>1.054</v>
      </c>
      <c r="G6" s="3" t="s">
        <v>21</v>
      </c>
      <c r="H6" s="3">
        <v>16.614103688470198</v>
      </c>
      <c r="I6" s="3">
        <v>2.3284257118607901</v>
      </c>
      <c r="J6" s="3">
        <v>-9.0137783984584802E-2</v>
      </c>
      <c r="K6" s="3">
        <v>0.99443457635506904</v>
      </c>
      <c r="L6" s="3">
        <v>10.451000000000001</v>
      </c>
      <c r="M6">
        <v>50</v>
      </c>
      <c r="N6" s="10">
        <v>17.856999999999999</v>
      </c>
      <c r="O6">
        <v>50</v>
      </c>
      <c r="P6">
        <v>42.59</v>
      </c>
      <c r="Q6">
        <v>29423.23</v>
      </c>
    </row>
    <row r="7" spans="1:17">
      <c r="A7" s="3" t="s">
        <v>25</v>
      </c>
      <c r="B7" s="3">
        <v>56</v>
      </c>
      <c r="C7" s="3">
        <v>61</v>
      </c>
      <c r="D7" s="3">
        <f t="shared" si="0"/>
        <v>58.5</v>
      </c>
      <c r="E7" s="3">
        <v>0.36399999999999999</v>
      </c>
      <c r="F7" s="3">
        <v>1.02</v>
      </c>
      <c r="G7" s="3" t="s">
        <v>21</v>
      </c>
      <c r="H7" s="3">
        <v>17.600297753157101</v>
      </c>
      <c r="I7" s="3">
        <v>2.4378083727308102</v>
      </c>
      <c r="J7" s="3">
        <v>-8.4709258409008004E-2</v>
      </c>
      <c r="K7" s="3">
        <v>0.98910845821021498</v>
      </c>
      <c r="L7" s="3">
        <v>8.9504000000000001</v>
      </c>
      <c r="M7">
        <v>55</v>
      </c>
      <c r="N7" s="9">
        <v>18.39</v>
      </c>
      <c r="O7">
        <v>55</v>
      </c>
      <c r="P7">
        <v>43.03</v>
      </c>
      <c r="Q7">
        <v>27524.49</v>
      </c>
    </row>
    <row r="8" spans="1:17">
      <c r="A8" s="3" t="s">
        <v>26</v>
      </c>
      <c r="B8" s="3">
        <v>68</v>
      </c>
      <c r="C8" s="3">
        <v>71</v>
      </c>
      <c r="D8" s="3">
        <f t="shared" si="0"/>
        <v>69.5</v>
      </c>
      <c r="E8" s="3">
        <v>0.39600000000000002</v>
      </c>
      <c r="F8" s="3">
        <v>1.0509999999999999</v>
      </c>
      <c r="G8" s="3" t="s">
        <v>21</v>
      </c>
      <c r="H8" s="3">
        <v>19.023804448800298</v>
      </c>
      <c r="I8" s="3">
        <v>2.4426459832283101</v>
      </c>
      <c r="J8" s="3">
        <v>-6.8494468451504101E-2</v>
      </c>
      <c r="K8" s="3">
        <v>0.99931026799991596</v>
      </c>
      <c r="L8" s="3">
        <v>9.2109000000000005</v>
      </c>
      <c r="M8">
        <v>60</v>
      </c>
      <c r="N8" s="10">
        <v>18.648</v>
      </c>
      <c r="O8">
        <v>60</v>
      </c>
      <c r="P8">
        <v>42.13</v>
      </c>
      <c r="Q8">
        <v>27202.99</v>
      </c>
    </row>
    <row r="9" spans="1:17">
      <c r="A9" s="3" t="s">
        <v>27</v>
      </c>
      <c r="B9" s="3">
        <v>76</v>
      </c>
      <c r="C9" s="3">
        <v>82</v>
      </c>
      <c r="D9" s="3">
        <f t="shared" si="0"/>
        <v>79</v>
      </c>
      <c r="E9" s="3">
        <v>0.38700000000000001</v>
      </c>
      <c r="F9" s="3">
        <v>1.01</v>
      </c>
      <c r="G9" s="3" t="s">
        <v>21</v>
      </c>
      <c r="H9" s="3">
        <v>16.631812132910699</v>
      </c>
      <c r="I9" s="3">
        <v>2.2752129756868702</v>
      </c>
      <c r="J9" s="3">
        <v>-8.99431275448863E-2</v>
      </c>
      <c r="K9" s="3">
        <v>1.0092204406459799</v>
      </c>
      <c r="L9" s="3">
        <v>9.6591000000000005</v>
      </c>
      <c r="M9">
        <v>65</v>
      </c>
      <c r="N9" s="9">
        <v>19.312000000000001</v>
      </c>
      <c r="O9">
        <v>65</v>
      </c>
      <c r="P9">
        <v>43.54</v>
      </c>
      <c r="Q9">
        <v>27072.880000000001</v>
      </c>
    </row>
    <row r="10" spans="1:17">
      <c r="A10" s="3" t="s">
        <v>28</v>
      </c>
      <c r="B10" s="3">
        <v>89</v>
      </c>
      <c r="C10" s="3">
        <v>92</v>
      </c>
      <c r="D10" s="3">
        <f t="shared" si="0"/>
        <v>90.5</v>
      </c>
      <c r="E10" s="3">
        <v>0.38600000000000001</v>
      </c>
      <c r="F10" s="3">
        <v>1.048</v>
      </c>
      <c r="G10" s="3" t="s">
        <v>21</v>
      </c>
      <c r="H10" s="3">
        <v>17.318757436651001</v>
      </c>
      <c r="I10" s="3">
        <v>2.43105571695863</v>
      </c>
      <c r="J10" s="3">
        <v>-5.9503354790283298E-2</v>
      </c>
      <c r="K10" s="3">
        <v>1.00520361561492</v>
      </c>
      <c r="L10" s="3">
        <v>9.1496999999999993</v>
      </c>
      <c r="M10">
        <v>70</v>
      </c>
      <c r="N10" s="10">
        <v>19.645</v>
      </c>
      <c r="O10">
        <v>70</v>
      </c>
      <c r="P10">
        <v>41.9</v>
      </c>
      <c r="Q10">
        <v>24368.46</v>
      </c>
    </row>
    <row r="11" spans="1:17">
      <c r="A11" s="3" t="s">
        <v>29</v>
      </c>
      <c r="B11" s="3">
        <v>99</v>
      </c>
      <c r="C11" s="3">
        <v>101</v>
      </c>
      <c r="D11" s="3">
        <f t="shared" si="0"/>
        <v>100</v>
      </c>
      <c r="E11" s="3">
        <v>0.32500000000000001</v>
      </c>
      <c r="F11" s="3">
        <v>1.056</v>
      </c>
      <c r="G11" s="3" t="s">
        <v>21</v>
      </c>
      <c r="H11" s="3">
        <v>17.977122391566901</v>
      </c>
      <c r="I11" s="3">
        <v>2.3728498731933101</v>
      </c>
      <c r="J11" s="3">
        <v>-6.4478678838163397E-2</v>
      </c>
      <c r="K11" s="3">
        <v>1.0006343922021299</v>
      </c>
      <c r="L11" s="3">
        <v>9.6885999999999992</v>
      </c>
      <c r="M11">
        <v>75</v>
      </c>
      <c r="N11" s="9">
        <v>18.718</v>
      </c>
      <c r="O11">
        <v>75</v>
      </c>
      <c r="P11">
        <v>42.56</v>
      </c>
      <c r="Q11">
        <v>27663.25</v>
      </c>
    </row>
    <row r="12" spans="1:17">
      <c r="A12" s="3" t="s">
        <v>30</v>
      </c>
      <c r="B12" s="3">
        <v>107</v>
      </c>
      <c r="C12" s="3">
        <v>110</v>
      </c>
      <c r="D12" s="3">
        <f t="shared" si="0"/>
        <v>108.5</v>
      </c>
      <c r="E12" s="3">
        <v>0.36199999999999999</v>
      </c>
      <c r="F12" s="3">
        <v>1.07</v>
      </c>
      <c r="G12" s="3" t="s">
        <v>21</v>
      </c>
      <c r="H12" s="3">
        <v>18.832745529055899</v>
      </c>
      <c r="I12" s="3">
        <v>2.2822595213955199</v>
      </c>
      <c r="J12" s="3">
        <v>-7.6714820153169397E-2</v>
      </c>
      <c r="K12" s="3">
        <v>0.99685016549227101</v>
      </c>
      <c r="L12" s="3">
        <v>10.914400000000001</v>
      </c>
      <c r="M12">
        <v>80</v>
      </c>
      <c r="N12" s="10">
        <v>18.12</v>
      </c>
      <c r="O12">
        <v>80</v>
      </c>
      <c r="P12">
        <v>41.82</v>
      </c>
      <c r="Q12">
        <v>29000.7</v>
      </c>
    </row>
    <row r="13" spans="1:17">
      <c r="A13" s="3" t="s">
        <v>31</v>
      </c>
      <c r="B13" s="3">
        <v>118</v>
      </c>
      <c r="C13" s="3">
        <v>120</v>
      </c>
      <c r="D13" s="3">
        <f t="shared" si="0"/>
        <v>119</v>
      </c>
      <c r="E13" s="3">
        <v>0.35799999999999998</v>
      </c>
      <c r="F13" s="3">
        <v>1.042</v>
      </c>
      <c r="G13" s="3" t="s">
        <v>21</v>
      </c>
      <c r="H13" s="3">
        <v>17.575149062748299</v>
      </c>
      <c r="I13" s="3">
        <v>2.3066443193034001</v>
      </c>
      <c r="J13" s="3">
        <v>-7.1582412367640499E-2</v>
      </c>
      <c r="K13" s="3">
        <v>1.00945467840223</v>
      </c>
      <c r="L13" s="3">
        <v>8.9461999999999993</v>
      </c>
      <c r="M13">
        <v>85</v>
      </c>
      <c r="N13" s="9">
        <v>19.577999999999999</v>
      </c>
      <c r="O13">
        <v>85</v>
      </c>
      <c r="P13">
        <v>40.97</v>
      </c>
      <c r="Q13">
        <v>28510.45</v>
      </c>
    </row>
    <row r="14" spans="1:17">
      <c r="A14" s="3" t="s">
        <v>32</v>
      </c>
      <c r="B14" s="3">
        <v>126</v>
      </c>
      <c r="C14" s="3">
        <v>131</v>
      </c>
      <c r="D14" s="3">
        <f t="shared" si="0"/>
        <v>128.5</v>
      </c>
      <c r="E14" s="3">
        <v>0.39</v>
      </c>
      <c r="F14" s="3">
        <v>1.0149999999999999</v>
      </c>
      <c r="G14" s="3" t="s">
        <v>21</v>
      </c>
      <c r="H14" s="3">
        <v>16.577432169272601</v>
      </c>
      <c r="I14" s="3">
        <v>2.1990086277921299</v>
      </c>
      <c r="J14" s="3">
        <v>-9.3163412144735294E-2</v>
      </c>
      <c r="K14" s="3">
        <v>1.0004540812318199</v>
      </c>
      <c r="L14" s="3">
        <v>9.3889999999999993</v>
      </c>
      <c r="M14">
        <v>90</v>
      </c>
      <c r="N14" s="10">
        <v>19.843</v>
      </c>
      <c r="O14">
        <v>90</v>
      </c>
      <c r="P14">
        <v>41.93</v>
      </c>
      <c r="Q14">
        <v>25005.26</v>
      </c>
    </row>
    <row r="15" spans="1:17">
      <c r="A15" s="3" t="s">
        <v>33</v>
      </c>
      <c r="B15" s="3">
        <v>139</v>
      </c>
      <c r="C15" s="3">
        <v>141</v>
      </c>
      <c r="D15" s="3">
        <f t="shared" si="0"/>
        <v>140</v>
      </c>
      <c r="E15" s="3">
        <v>0.38700000000000001</v>
      </c>
      <c r="F15" s="3">
        <v>1.083</v>
      </c>
      <c r="G15" s="3" t="s">
        <v>21</v>
      </c>
      <c r="H15" s="3">
        <v>17.285767804450401</v>
      </c>
      <c r="I15" s="3">
        <v>2.4450907490290401</v>
      </c>
      <c r="J15" s="3">
        <v>-7.9020533694505998E-2</v>
      </c>
      <c r="K15" s="3">
        <v>0.99943232567463702</v>
      </c>
      <c r="L15" s="3">
        <v>8.5960999999999999</v>
      </c>
      <c r="M15">
        <v>95</v>
      </c>
      <c r="N15" s="9">
        <v>21.693999999999999</v>
      </c>
      <c r="O15">
        <v>95</v>
      </c>
      <c r="P15">
        <v>42.71</v>
      </c>
      <c r="Q15">
        <v>23580.67</v>
      </c>
    </row>
    <row r="16" spans="1:17">
      <c r="A16" s="3" t="s">
        <v>34</v>
      </c>
      <c r="B16" s="3">
        <v>146</v>
      </c>
      <c r="C16" s="3">
        <v>151</v>
      </c>
      <c r="D16" s="3">
        <f t="shared" si="0"/>
        <v>148.5</v>
      </c>
      <c r="E16" s="3">
        <v>0.32700000000000001</v>
      </c>
      <c r="F16" s="3">
        <v>1.046</v>
      </c>
      <c r="G16" s="3" t="s">
        <v>21</v>
      </c>
      <c r="H16" s="3">
        <v>17.846355005090601</v>
      </c>
      <c r="I16" s="3">
        <v>2.5803132090273602</v>
      </c>
      <c r="J16" s="3">
        <v>-3.2600317288121801E-2</v>
      </c>
      <c r="K16" s="3">
        <v>1.0104788873581501</v>
      </c>
      <c r="L16" s="3">
        <v>8.3588000000000005</v>
      </c>
      <c r="M16">
        <v>100</v>
      </c>
      <c r="N16" s="10">
        <v>20.436</v>
      </c>
      <c r="O16">
        <v>100</v>
      </c>
      <c r="P16">
        <v>43.33</v>
      </c>
      <c r="Q16">
        <v>25095.41</v>
      </c>
    </row>
    <row r="17" spans="1:17">
      <c r="A17" s="3" t="s">
        <v>35</v>
      </c>
      <c r="B17" s="3">
        <v>160</v>
      </c>
      <c r="C17" s="3">
        <v>162</v>
      </c>
      <c r="D17" s="3">
        <f t="shared" si="0"/>
        <v>161</v>
      </c>
      <c r="E17" s="3">
        <v>0.32900000000000001</v>
      </c>
      <c r="F17" s="3">
        <v>1.0089999999999999</v>
      </c>
      <c r="G17" s="3" t="s">
        <v>21</v>
      </c>
      <c r="H17" s="3">
        <v>17.951953478879599</v>
      </c>
      <c r="I17" s="3">
        <v>2.4236529512711402</v>
      </c>
      <c r="J17" s="3">
        <v>-5.4818498751992198E-2</v>
      </c>
      <c r="K17" s="3">
        <v>1.01170055832478</v>
      </c>
      <c r="L17" s="3">
        <v>9.2222000000000008</v>
      </c>
      <c r="M17">
        <v>105</v>
      </c>
      <c r="N17" s="9">
        <v>20.699000000000002</v>
      </c>
      <c r="O17">
        <v>105</v>
      </c>
      <c r="P17">
        <v>43.2</v>
      </c>
      <c r="Q17">
        <v>25994.12</v>
      </c>
    </row>
    <row r="18" spans="1:17">
      <c r="A18" s="3" t="s">
        <v>36</v>
      </c>
      <c r="B18" s="3">
        <v>168</v>
      </c>
      <c r="C18" s="3">
        <v>171</v>
      </c>
      <c r="D18" s="3">
        <f t="shared" si="0"/>
        <v>169.5</v>
      </c>
      <c r="E18" s="3">
        <v>0.36899999999999999</v>
      </c>
      <c r="F18" s="3">
        <v>1.0109999999999999</v>
      </c>
      <c r="G18" s="3" t="s">
        <v>21</v>
      </c>
      <c r="H18" s="3">
        <v>17.999076398155001</v>
      </c>
      <c r="I18" s="3">
        <v>2.39370692361747</v>
      </c>
      <c r="J18" s="3">
        <v>-5.17706964738383E-2</v>
      </c>
      <c r="K18" s="3">
        <v>1.0191623274750601</v>
      </c>
      <c r="L18" s="3">
        <v>9.3114000000000008</v>
      </c>
      <c r="M18">
        <v>110</v>
      </c>
      <c r="N18" s="10">
        <v>20.236999999999998</v>
      </c>
      <c r="O18">
        <v>110</v>
      </c>
      <c r="P18">
        <v>40.74</v>
      </c>
      <c r="Q18">
        <v>29015.54</v>
      </c>
    </row>
    <row r="19" spans="1:17">
      <c r="A19" s="3" t="s">
        <v>37</v>
      </c>
      <c r="B19" s="3">
        <v>177</v>
      </c>
      <c r="C19" s="3">
        <v>181</v>
      </c>
      <c r="D19" s="3">
        <f t="shared" si="0"/>
        <v>179</v>
      </c>
      <c r="E19" s="3">
        <v>0.39900000000000002</v>
      </c>
      <c r="F19" s="3">
        <v>1.0840000000000001</v>
      </c>
      <c r="G19" s="3" t="s">
        <v>21</v>
      </c>
      <c r="H19" s="3">
        <v>16.9079786890644</v>
      </c>
      <c r="I19" s="3">
        <v>2.2274609159752301</v>
      </c>
      <c r="J19" s="3">
        <v>-6.3481201291984202E-2</v>
      </c>
      <c r="K19" s="3">
        <v>1.0138282204169999</v>
      </c>
      <c r="L19" s="3">
        <v>11.0517</v>
      </c>
      <c r="M19">
        <v>115</v>
      </c>
      <c r="N19" s="9">
        <v>20.506</v>
      </c>
      <c r="O19">
        <v>115</v>
      </c>
      <c r="P19">
        <v>40.44</v>
      </c>
      <c r="Q19">
        <v>28768.35</v>
      </c>
    </row>
    <row r="20" spans="1:17">
      <c r="A20" s="3" t="s">
        <v>38</v>
      </c>
      <c r="B20" s="3">
        <v>188</v>
      </c>
      <c r="C20" s="3">
        <v>190</v>
      </c>
      <c r="D20" s="3">
        <f t="shared" si="0"/>
        <v>189</v>
      </c>
      <c r="E20" s="3">
        <v>0.36</v>
      </c>
      <c r="F20" s="3">
        <v>1.052</v>
      </c>
      <c r="G20" s="3" t="s">
        <v>21</v>
      </c>
      <c r="H20" s="3">
        <v>17.510073671674199</v>
      </c>
      <c r="I20" s="3">
        <v>2.2643610047056</v>
      </c>
      <c r="J20" s="3">
        <v>-7.5268185649881206E-2</v>
      </c>
      <c r="K20" s="3">
        <v>1.01477236326517</v>
      </c>
      <c r="L20" s="3">
        <v>10.6897</v>
      </c>
      <c r="M20">
        <v>120</v>
      </c>
      <c r="N20" s="10">
        <v>20.963000000000001</v>
      </c>
      <c r="O20">
        <v>120</v>
      </c>
      <c r="P20">
        <v>40.119999999999997</v>
      </c>
      <c r="Q20">
        <v>25846.98</v>
      </c>
    </row>
    <row r="21" spans="1:17">
      <c r="A21" s="3" t="s">
        <v>39</v>
      </c>
      <c r="B21" s="3">
        <v>198</v>
      </c>
      <c r="C21" s="3">
        <v>201</v>
      </c>
      <c r="D21" s="3">
        <f t="shared" si="0"/>
        <v>199.5</v>
      </c>
      <c r="E21" s="3">
        <v>0.36</v>
      </c>
      <c r="F21" s="3">
        <v>1.0029999999999999</v>
      </c>
      <c r="G21" s="3" t="s">
        <v>21</v>
      </c>
      <c r="H21" s="3">
        <v>18.181081929131501</v>
      </c>
      <c r="I21" s="3">
        <v>2.1412764088268901</v>
      </c>
      <c r="J21" s="3">
        <v>-7.8645853944577293E-2</v>
      </c>
      <c r="K21" s="3">
        <v>1.01188890742208</v>
      </c>
      <c r="L21" s="3">
        <v>10.0845</v>
      </c>
      <c r="M21">
        <v>125</v>
      </c>
      <c r="N21" s="9">
        <v>20.306000000000001</v>
      </c>
      <c r="O21">
        <v>125</v>
      </c>
      <c r="P21">
        <v>40.729999999999997</v>
      </c>
      <c r="Q21">
        <v>25525.95</v>
      </c>
    </row>
    <row r="22" spans="1:17">
      <c r="A22" s="3" t="s">
        <v>40</v>
      </c>
      <c r="B22" s="3">
        <v>208</v>
      </c>
      <c r="C22" s="3">
        <v>210</v>
      </c>
      <c r="D22" s="3">
        <f t="shared" si="0"/>
        <v>209</v>
      </c>
      <c r="E22" s="3">
        <v>0.36699999999999999</v>
      </c>
      <c r="F22" s="3">
        <v>1.08</v>
      </c>
      <c r="G22" s="3" t="s">
        <v>21</v>
      </c>
      <c r="H22" s="3">
        <v>17.927309772120999</v>
      </c>
      <c r="I22" s="3">
        <v>2.26842895805683</v>
      </c>
      <c r="J22" s="3">
        <v>-8.9968749758798497E-2</v>
      </c>
      <c r="K22" s="3">
        <v>1.0026838263023099</v>
      </c>
      <c r="L22" s="3">
        <v>13.5007</v>
      </c>
      <c r="M22">
        <v>130</v>
      </c>
      <c r="N22" s="10">
        <v>20.239000000000001</v>
      </c>
      <c r="O22">
        <v>130</v>
      </c>
      <c r="P22">
        <v>40.65</v>
      </c>
      <c r="Q22">
        <v>26185.39</v>
      </c>
    </row>
    <row r="23" spans="1:17">
      <c r="A23" s="3" t="s">
        <v>41</v>
      </c>
      <c r="B23" s="3">
        <v>217</v>
      </c>
      <c r="C23" s="3">
        <v>220</v>
      </c>
      <c r="D23" s="3">
        <f t="shared" si="0"/>
        <v>218.5</v>
      </c>
      <c r="E23" s="3">
        <v>0.34899999999999998</v>
      </c>
      <c r="F23" s="3">
        <v>1.046</v>
      </c>
      <c r="G23" s="3" t="s">
        <v>21</v>
      </c>
      <c r="H23" s="3">
        <v>26.018908805756801</v>
      </c>
      <c r="I23" s="3">
        <v>2.3408288450599102</v>
      </c>
      <c r="J23" s="3">
        <v>-0.111345203340318</v>
      </c>
      <c r="K23" s="3">
        <v>0.99386140063475403</v>
      </c>
      <c r="L23" s="3">
        <v>10.170299999999999</v>
      </c>
      <c r="M23">
        <v>135</v>
      </c>
      <c r="N23" s="9">
        <v>18.451000000000001</v>
      </c>
      <c r="O23">
        <v>135</v>
      </c>
      <c r="P23">
        <v>40.5</v>
      </c>
      <c r="Q23">
        <v>22915.83</v>
      </c>
    </row>
    <row r="24" spans="1:17">
      <c r="A24" s="3" t="s">
        <v>42</v>
      </c>
      <c r="B24" s="3">
        <v>227</v>
      </c>
      <c r="C24" s="3">
        <v>230</v>
      </c>
      <c r="D24" s="3">
        <f t="shared" si="0"/>
        <v>228.5</v>
      </c>
      <c r="E24" s="3">
        <v>0.33200000000000002</v>
      </c>
      <c r="F24" s="3">
        <v>1.04</v>
      </c>
      <c r="G24" s="3" t="s">
        <v>21</v>
      </c>
      <c r="H24" s="3">
        <v>26.955359620773699</v>
      </c>
      <c r="I24" s="3">
        <v>2.2665469132248202</v>
      </c>
      <c r="J24" s="3">
        <v>-0.10019359653804601</v>
      </c>
      <c r="K24" s="3">
        <v>0.993692900528516</v>
      </c>
      <c r="L24" s="3">
        <v>13.704499999999999</v>
      </c>
      <c r="M24">
        <v>140</v>
      </c>
      <c r="N24" s="10">
        <v>19.64</v>
      </c>
      <c r="O24">
        <v>140</v>
      </c>
      <c r="P24">
        <v>40.49</v>
      </c>
      <c r="Q24">
        <v>20899.38</v>
      </c>
    </row>
    <row r="25" spans="1:17">
      <c r="A25" s="3" t="s">
        <v>43</v>
      </c>
      <c r="B25" s="3">
        <v>230</v>
      </c>
      <c r="C25" s="3">
        <v>240</v>
      </c>
      <c r="D25" s="3">
        <f t="shared" si="0"/>
        <v>235</v>
      </c>
      <c r="E25" s="3">
        <v>0.34899999999999998</v>
      </c>
      <c r="F25" s="3">
        <v>1.0329999999999999</v>
      </c>
      <c r="G25" s="3" t="s">
        <v>21</v>
      </c>
      <c r="H25" s="3">
        <v>28.3085349889237</v>
      </c>
      <c r="I25" s="3">
        <v>2.2704508125829999</v>
      </c>
      <c r="J25" s="3">
        <v>-0.11519650862546001</v>
      </c>
      <c r="K25" s="3">
        <v>0.99732887219428701</v>
      </c>
      <c r="L25" s="3">
        <v>9.1252999999999993</v>
      </c>
      <c r="M25">
        <v>145</v>
      </c>
      <c r="N25" s="9">
        <v>22.221</v>
      </c>
      <c r="O25">
        <v>145</v>
      </c>
      <c r="P25">
        <v>40.619999999999997</v>
      </c>
      <c r="Q25">
        <v>21029.38</v>
      </c>
    </row>
    <row r="26" spans="1:17">
      <c r="A26" s="3" t="s">
        <v>44</v>
      </c>
      <c r="B26" s="3">
        <v>240</v>
      </c>
      <c r="C26" s="3">
        <v>248</v>
      </c>
      <c r="D26" s="3">
        <f t="shared" si="0"/>
        <v>244</v>
      </c>
      <c r="E26" s="3">
        <v>0.307</v>
      </c>
      <c r="F26" s="3">
        <v>1.0449999999999999</v>
      </c>
      <c r="G26" s="3" t="s">
        <v>21</v>
      </c>
      <c r="H26" s="3">
        <v>23.7265676601303</v>
      </c>
      <c r="I26" s="3">
        <v>2.3294562368165002</v>
      </c>
      <c r="J26" s="3">
        <v>-7.0245733705694799E-2</v>
      </c>
      <c r="K26" s="3">
        <v>1.0028338927798</v>
      </c>
      <c r="L26" s="3">
        <v>10.6632</v>
      </c>
      <c r="M26">
        <v>150</v>
      </c>
      <c r="N26" s="10">
        <v>21.161999999999999</v>
      </c>
      <c r="O26">
        <v>150</v>
      </c>
      <c r="P26">
        <v>41.11</v>
      </c>
      <c r="Q26">
        <v>21380.71</v>
      </c>
    </row>
    <row r="27" spans="1:17">
      <c r="A27" s="3" t="s">
        <v>45</v>
      </c>
      <c r="B27" s="3">
        <v>250</v>
      </c>
      <c r="C27" s="3">
        <v>255</v>
      </c>
      <c r="D27" s="3">
        <f t="shared" si="0"/>
        <v>252.5</v>
      </c>
      <c r="E27" s="3">
        <v>0.307</v>
      </c>
      <c r="F27" s="3">
        <v>1.0589999999999999</v>
      </c>
      <c r="G27" s="3" t="s">
        <v>21</v>
      </c>
      <c r="H27" s="3">
        <v>18.567006671791201</v>
      </c>
      <c r="I27" s="3">
        <v>2.2360608620371401</v>
      </c>
      <c r="J27" s="3">
        <v>-7.95946976113594E-2</v>
      </c>
      <c r="K27" s="3">
        <v>1.0143689499749799</v>
      </c>
      <c r="L27" s="3">
        <v>8.6212999999999997</v>
      </c>
      <c r="M27">
        <v>155</v>
      </c>
      <c r="N27" s="9">
        <v>22.283999999999999</v>
      </c>
      <c r="O27">
        <v>155</v>
      </c>
      <c r="P27">
        <v>42.85</v>
      </c>
      <c r="Q27">
        <v>18967.64</v>
      </c>
    </row>
    <row r="28" spans="1:17">
      <c r="A28" s="3" t="s">
        <v>46</v>
      </c>
      <c r="B28" s="3">
        <v>260</v>
      </c>
      <c r="C28" s="3">
        <v>262</v>
      </c>
      <c r="D28" s="3">
        <f t="shared" si="0"/>
        <v>261</v>
      </c>
      <c r="E28" s="3">
        <v>0.30099999999999999</v>
      </c>
      <c r="F28" s="3">
        <v>1.0149999999999999</v>
      </c>
      <c r="G28" s="3" t="s">
        <v>21</v>
      </c>
      <c r="H28" s="3">
        <v>17.761928229897102</v>
      </c>
      <c r="I28" s="3">
        <v>2.5218204825830401</v>
      </c>
      <c r="J28" s="3">
        <v>-7.8695938404479304E-2</v>
      </c>
      <c r="K28" s="3">
        <v>0.98879169094366604</v>
      </c>
      <c r="L28" s="3">
        <v>8.6237999999999992</v>
      </c>
      <c r="M28">
        <v>160</v>
      </c>
      <c r="N28" s="10">
        <v>23.012</v>
      </c>
      <c r="O28">
        <v>160</v>
      </c>
      <c r="P28">
        <v>43.79</v>
      </c>
      <c r="Q28">
        <v>16773.150000000001</v>
      </c>
    </row>
    <row r="29" spans="1:17">
      <c r="A29" s="3" t="s">
        <v>47</v>
      </c>
      <c r="B29" s="3">
        <v>262</v>
      </c>
      <c r="C29" s="3">
        <v>264</v>
      </c>
      <c r="D29" s="3">
        <f t="shared" si="0"/>
        <v>263</v>
      </c>
      <c r="E29" s="3">
        <v>0.32600000000000001</v>
      </c>
      <c r="F29" s="3">
        <v>1.026</v>
      </c>
      <c r="G29" s="3" t="s">
        <v>21</v>
      </c>
      <c r="H29" s="3">
        <v>17.386548797664901</v>
      </c>
      <c r="I29" s="3">
        <v>2.59628840562495</v>
      </c>
      <c r="J29" s="3">
        <v>-7.5749728090656901E-2</v>
      </c>
      <c r="K29" s="3">
        <v>0.98484696370193803</v>
      </c>
      <c r="L29" s="3">
        <v>8.7345000000000006</v>
      </c>
      <c r="M29">
        <v>165</v>
      </c>
      <c r="N29" s="9">
        <v>21.292000000000002</v>
      </c>
      <c r="O29">
        <v>165</v>
      </c>
      <c r="P29">
        <v>43.83</v>
      </c>
      <c r="Q29">
        <v>16288.16</v>
      </c>
    </row>
    <row r="30" spans="1:17">
      <c r="A30" s="3" t="s">
        <v>48</v>
      </c>
      <c r="B30" s="3">
        <v>270</v>
      </c>
      <c r="C30" s="3">
        <v>273</v>
      </c>
      <c r="D30" s="3">
        <f t="shared" si="0"/>
        <v>271.5</v>
      </c>
      <c r="E30" s="3">
        <v>0.33800000000000002</v>
      </c>
      <c r="F30" s="3">
        <v>1.0069999999999999</v>
      </c>
      <c r="G30" s="3" t="s">
        <v>21</v>
      </c>
      <c r="H30" s="3">
        <v>17.1135913166233</v>
      </c>
      <c r="I30" s="3">
        <v>2.2851856528110002</v>
      </c>
      <c r="J30" s="3">
        <v>-6.1710682209617902E-2</v>
      </c>
      <c r="K30" s="3">
        <v>1.00629600880022</v>
      </c>
      <c r="L30" s="3">
        <v>9.6498000000000008</v>
      </c>
      <c r="M30">
        <v>170</v>
      </c>
      <c r="N30" s="10">
        <v>21.757000000000001</v>
      </c>
      <c r="O30">
        <v>170</v>
      </c>
      <c r="P30">
        <v>44.22</v>
      </c>
      <c r="Q30">
        <v>15863.48</v>
      </c>
    </row>
    <row r="31" spans="1:17">
      <c r="A31" s="3" t="s">
        <v>49</v>
      </c>
      <c r="B31" s="3">
        <v>275</v>
      </c>
      <c r="C31" s="3">
        <v>280</v>
      </c>
      <c r="D31" s="3">
        <f t="shared" si="0"/>
        <v>277.5</v>
      </c>
      <c r="E31" s="3">
        <v>0.39800000000000002</v>
      </c>
      <c r="F31" s="3">
        <v>1.081</v>
      </c>
      <c r="G31" s="3" t="s">
        <v>21</v>
      </c>
      <c r="H31" s="3">
        <v>19.209360440614901</v>
      </c>
      <c r="I31" s="3">
        <v>2.3278268148946402</v>
      </c>
      <c r="J31" s="3">
        <v>-7.9695229104658094E-2</v>
      </c>
      <c r="K31" s="3">
        <v>1.0182885035160001</v>
      </c>
      <c r="L31" s="3">
        <v>9.2571999999999992</v>
      </c>
      <c r="M31">
        <v>175</v>
      </c>
      <c r="N31" s="9">
        <v>22.417999999999999</v>
      </c>
      <c r="O31">
        <v>175</v>
      </c>
      <c r="P31">
        <v>44.23</v>
      </c>
      <c r="Q31">
        <v>18432.22</v>
      </c>
    </row>
    <row r="32" spans="1:17">
      <c r="A32" s="3" t="s">
        <v>50</v>
      </c>
      <c r="B32" s="3">
        <v>280</v>
      </c>
      <c r="C32" s="3">
        <v>290</v>
      </c>
      <c r="D32" s="3">
        <f t="shared" si="0"/>
        <v>285</v>
      </c>
      <c r="E32" s="3">
        <v>0.33700000000000002</v>
      </c>
      <c r="F32" s="3">
        <v>1.0649999999999999</v>
      </c>
      <c r="G32" s="3" t="s">
        <v>21</v>
      </c>
      <c r="H32" s="3">
        <v>17.835453808199698</v>
      </c>
      <c r="I32" s="3">
        <v>2.4066392118497602</v>
      </c>
      <c r="J32" s="3">
        <v>-6.6107824894008196E-2</v>
      </c>
      <c r="K32" s="3">
        <v>1.02204361578598</v>
      </c>
      <c r="L32" s="3">
        <v>8.7111000000000001</v>
      </c>
      <c r="M32">
        <v>180</v>
      </c>
      <c r="N32" s="10">
        <v>21.23</v>
      </c>
      <c r="O32">
        <v>180</v>
      </c>
      <c r="P32">
        <v>43.92</v>
      </c>
      <c r="Q32">
        <v>20076.22</v>
      </c>
    </row>
    <row r="33" spans="1:17">
      <c r="A33" s="3" t="s">
        <v>51</v>
      </c>
      <c r="B33" s="3">
        <v>290</v>
      </c>
      <c r="C33" s="3">
        <v>295</v>
      </c>
      <c r="D33" s="3">
        <f t="shared" si="0"/>
        <v>292.5</v>
      </c>
      <c r="E33" s="3">
        <v>0.36699999999999999</v>
      </c>
      <c r="F33" s="3">
        <v>1.022</v>
      </c>
      <c r="G33" s="3" t="s">
        <v>21</v>
      </c>
      <c r="H33" s="3">
        <v>16.8737598219336</v>
      </c>
      <c r="I33" s="3">
        <v>2.5065541490858299</v>
      </c>
      <c r="J33" s="3">
        <v>-4.8258610043922998E-2</v>
      </c>
      <c r="K33" s="3">
        <v>1.0111634873556901</v>
      </c>
      <c r="L33" s="3">
        <v>8.5368999999999993</v>
      </c>
      <c r="M33">
        <v>185</v>
      </c>
      <c r="N33" s="9">
        <v>21.033999999999999</v>
      </c>
      <c r="O33">
        <v>185</v>
      </c>
      <c r="P33">
        <v>43.49</v>
      </c>
      <c r="Q33">
        <v>20891.080000000002</v>
      </c>
    </row>
    <row r="34" spans="1:17">
      <c r="A34" s="3" t="s">
        <v>52</v>
      </c>
      <c r="B34" s="3">
        <v>295</v>
      </c>
      <c r="C34" s="3">
        <v>300</v>
      </c>
      <c r="D34" s="3">
        <f t="shared" si="0"/>
        <v>297.5</v>
      </c>
      <c r="E34" s="3">
        <v>0.371</v>
      </c>
      <c r="F34" s="3">
        <v>1.03</v>
      </c>
      <c r="G34" s="3" t="s">
        <v>21</v>
      </c>
      <c r="H34" s="3">
        <v>17.919794961969199</v>
      </c>
      <c r="I34" s="3">
        <v>2.4517993699717602</v>
      </c>
      <c r="J34" s="3">
        <v>-3.7918701471741097E-2</v>
      </c>
      <c r="K34" s="3">
        <v>1.0461481347036099</v>
      </c>
      <c r="L34" s="3">
        <v>8.8086000000000002</v>
      </c>
      <c r="M34">
        <v>190</v>
      </c>
      <c r="N34" s="10">
        <v>20.835000000000001</v>
      </c>
      <c r="O34">
        <v>190</v>
      </c>
      <c r="P34">
        <v>44.74</v>
      </c>
      <c r="Q34">
        <v>22627.61</v>
      </c>
    </row>
    <row r="35" spans="1:17">
      <c r="A35" s="3" t="s">
        <v>53</v>
      </c>
      <c r="B35" s="3">
        <v>300</v>
      </c>
      <c r="C35" s="3">
        <v>302</v>
      </c>
      <c r="D35" s="3">
        <f t="shared" si="0"/>
        <v>301</v>
      </c>
      <c r="E35" s="3">
        <v>0.36299999999999999</v>
      </c>
      <c r="F35" s="3">
        <v>1.034</v>
      </c>
      <c r="G35" s="3" t="s">
        <v>21</v>
      </c>
      <c r="H35" s="3">
        <v>16.365133790244801</v>
      </c>
      <c r="I35" s="3">
        <v>2.4668971293855502</v>
      </c>
      <c r="J35" s="3">
        <v>-4.2948575767359901E-2</v>
      </c>
      <c r="K35" s="3">
        <v>1.0114777655566001</v>
      </c>
      <c r="L35" s="3">
        <v>9.1929999999999996</v>
      </c>
      <c r="M35">
        <v>195</v>
      </c>
      <c r="N35" s="9">
        <v>22.088000000000001</v>
      </c>
      <c r="O35">
        <v>195</v>
      </c>
      <c r="P35">
        <v>41.97</v>
      </c>
      <c r="Q35">
        <v>25998.54</v>
      </c>
    </row>
    <row r="36" spans="1:17">
      <c r="A36" s="3" t="s">
        <v>54</v>
      </c>
      <c r="B36" s="3">
        <v>302</v>
      </c>
      <c r="C36" s="3">
        <v>304</v>
      </c>
      <c r="D36" s="3">
        <f t="shared" si="0"/>
        <v>303</v>
      </c>
      <c r="E36" s="3">
        <v>0.38900000000000001</v>
      </c>
      <c r="F36" s="3">
        <v>1.014</v>
      </c>
      <c r="G36" s="3" t="s">
        <v>21</v>
      </c>
      <c r="H36" s="3">
        <v>16.4739861998012</v>
      </c>
      <c r="I36" s="3">
        <v>2.4849331094734999</v>
      </c>
      <c r="J36" s="3">
        <v>-3.58238858077062E-2</v>
      </c>
      <c r="K36" s="3">
        <v>1.0164831671897101</v>
      </c>
      <c r="L36" s="3">
        <v>10.214700000000001</v>
      </c>
      <c r="M36">
        <v>200</v>
      </c>
      <c r="N36" s="10">
        <v>24.338999999999999</v>
      </c>
      <c r="O36">
        <v>200</v>
      </c>
      <c r="P36">
        <v>43.01</v>
      </c>
      <c r="Q36">
        <v>25389.45</v>
      </c>
    </row>
    <row r="37" spans="1:17">
      <c r="A37" s="3" t="s">
        <v>55</v>
      </c>
      <c r="B37" s="3">
        <v>304</v>
      </c>
      <c r="C37" s="3">
        <v>306</v>
      </c>
      <c r="D37" s="3">
        <f t="shared" si="0"/>
        <v>305</v>
      </c>
      <c r="E37" s="3">
        <v>0.34</v>
      </c>
      <c r="F37" s="3">
        <v>1.069</v>
      </c>
      <c r="G37" s="3" t="s">
        <v>21</v>
      </c>
      <c r="H37" s="3">
        <v>16.541561485392101</v>
      </c>
      <c r="I37" s="3">
        <v>2.4802326104720498</v>
      </c>
      <c r="J37" s="3">
        <v>-4.5679248523573801E-2</v>
      </c>
      <c r="K37" s="3">
        <v>1.01274876438547</v>
      </c>
      <c r="L37" s="3">
        <v>9.7715999999999994</v>
      </c>
      <c r="M37">
        <v>205</v>
      </c>
      <c r="N37" s="9">
        <v>24.407</v>
      </c>
      <c r="O37">
        <v>205</v>
      </c>
      <c r="P37">
        <v>43.66</v>
      </c>
      <c r="Q37">
        <v>26982.87</v>
      </c>
    </row>
    <row r="38" spans="1:17">
      <c r="A38" s="3" t="s">
        <v>56</v>
      </c>
      <c r="B38" s="3">
        <v>306</v>
      </c>
      <c r="C38" s="3">
        <v>310</v>
      </c>
      <c r="D38" s="3">
        <f t="shared" si="0"/>
        <v>308</v>
      </c>
      <c r="E38" s="3">
        <v>0.36799999999999999</v>
      </c>
      <c r="F38" s="3">
        <v>1.069</v>
      </c>
      <c r="G38" s="3" t="s">
        <v>21</v>
      </c>
      <c r="H38" s="3">
        <v>16.449059750825299</v>
      </c>
      <c r="I38" s="3">
        <v>2.4499611276926001</v>
      </c>
      <c r="J38" s="3">
        <v>-3.7999454214445498E-2</v>
      </c>
      <c r="K38" s="3">
        <v>1.0131103609471499</v>
      </c>
      <c r="L38" s="3">
        <v>10.1396</v>
      </c>
      <c r="M38">
        <v>210</v>
      </c>
      <c r="N38" s="10">
        <v>23.876000000000001</v>
      </c>
      <c r="O38">
        <v>210</v>
      </c>
      <c r="P38">
        <v>44.87</v>
      </c>
      <c r="Q38">
        <v>31524.6</v>
      </c>
    </row>
    <row r="39" spans="1:17">
      <c r="A39" s="3" t="s">
        <v>57</v>
      </c>
      <c r="B39" s="3">
        <v>310</v>
      </c>
      <c r="C39" s="3">
        <v>315</v>
      </c>
      <c r="D39" s="3">
        <f t="shared" si="0"/>
        <v>312.5</v>
      </c>
      <c r="E39" s="3">
        <v>0.32400000000000001</v>
      </c>
      <c r="F39" s="3">
        <v>1.0369999999999999</v>
      </c>
      <c r="G39" s="3" t="s">
        <v>21</v>
      </c>
      <c r="H39" s="3">
        <v>17.0722574413128</v>
      </c>
      <c r="I39" s="3">
        <v>2.2391593031900001</v>
      </c>
      <c r="J39" s="3">
        <v>-4.2443737782741499E-2</v>
      </c>
      <c r="K39" s="3">
        <v>1.0111208646492</v>
      </c>
      <c r="L39" s="3">
        <v>10.236499999999999</v>
      </c>
      <c r="M39">
        <v>215</v>
      </c>
      <c r="N39" s="9">
        <v>22.552</v>
      </c>
      <c r="O39">
        <v>215</v>
      </c>
      <c r="P39">
        <v>43.27</v>
      </c>
      <c r="Q39">
        <v>30236.959999999999</v>
      </c>
    </row>
    <row r="40" spans="1:17">
      <c r="A40" s="3" t="s">
        <v>58</v>
      </c>
      <c r="B40" s="3">
        <v>315</v>
      </c>
      <c r="C40" s="3">
        <v>320</v>
      </c>
      <c r="D40" s="3">
        <f t="shared" si="0"/>
        <v>317.5</v>
      </c>
      <c r="E40" s="3">
        <v>0.372</v>
      </c>
      <c r="F40" s="3">
        <v>1.0660000000000001</v>
      </c>
      <c r="G40" s="3" t="s">
        <v>21</v>
      </c>
      <c r="H40" s="3">
        <v>18.081395551572701</v>
      </c>
      <c r="I40" s="3">
        <v>2.24038993248625</v>
      </c>
      <c r="J40" s="3">
        <v>-9.3047047407035996E-2</v>
      </c>
      <c r="K40" s="3">
        <v>1.01175195568537</v>
      </c>
      <c r="L40" s="3">
        <v>10.541499999999999</v>
      </c>
      <c r="M40">
        <v>220</v>
      </c>
      <c r="N40" s="10">
        <v>23.806999999999999</v>
      </c>
      <c r="O40">
        <v>220</v>
      </c>
      <c r="P40">
        <v>43.37</v>
      </c>
      <c r="Q40">
        <v>28175.42</v>
      </c>
    </row>
    <row r="41" spans="1:17">
      <c r="A41" s="3" t="s">
        <v>59</v>
      </c>
      <c r="B41" s="3">
        <v>320</v>
      </c>
      <c r="C41" s="3">
        <v>325</v>
      </c>
      <c r="D41" s="3">
        <f t="shared" si="0"/>
        <v>322.5</v>
      </c>
      <c r="E41" s="3">
        <v>0.33</v>
      </c>
      <c r="F41" s="3">
        <v>1.0449999999999999</v>
      </c>
      <c r="G41" s="3" t="s">
        <v>21</v>
      </c>
      <c r="H41" s="3">
        <v>17.9247475695886</v>
      </c>
      <c r="I41" s="3">
        <v>2.9409043170345499</v>
      </c>
      <c r="J41" s="3">
        <v>-1.36445147806349E-2</v>
      </c>
      <c r="K41" s="3">
        <v>1.0120736023093</v>
      </c>
      <c r="L41" s="3">
        <v>10.3469</v>
      </c>
      <c r="M41">
        <v>225</v>
      </c>
      <c r="N41" s="9">
        <v>18.056000000000001</v>
      </c>
      <c r="O41">
        <v>225</v>
      </c>
      <c r="P41">
        <v>43.41</v>
      </c>
      <c r="Q41">
        <v>31274.26</v>
      </c>
    </row>
    <row r="42" spans="1:17">
      <c r="A42" s="3" t="s">
        <v>60</v>
      </c>
      <c r="B42" s="3">
        <v>325</v>
      </c>
      <c r="C42" s="3">
        <v>330</v>
      </c>
      <c r="D42" s="3">
        <f t="shared" si="0"/>
        <v>327.5</v>
      </c>
      <c r="E42" s="3">
        <v>0.315</v>
      </c>
      <c r="F42" s="3">
        <v>1.0649999999999999</v>
      </c>
      <c r="G42" s="3" t="s">
        <v>21</v>
      </c>
      <c r="H42" s="3">
        <v>15.436732894972801</v>
      </c>
      <c r="I42" s="3">
        <v>2.66053946387908</v>
      </c>
      <c r="J42" s="3">
        <v>-6.8318475142972998E-2</v>
      </c>
      <c r="K42" s="3">
        <v>0.95153757408058803</v>
      </c>
      <c r="L42" s="3">
        <v>8.3813999999999993</v>
      </c>
      <c r="M42">
        <v>230</v>
      </c>
      <c r="N42" s="10">
        <v>18.782</v>
      </c>
      <c r="O42">
        <v>230</v>
      </c>
      <c r="P42">
        <v>43.25</v>
      </c>
      <c r="Q42">
        <v>24356.14</v>
      </c>
    </row>
    <row r="43" spans="1:17">
      <c r="A43" s="3" t="s">
        <v>61</v>
      </c>
      <c r="B43" s="3">
        <v>330</v>
      </c>
      <c r="C43" s="3">
        <v>335</v>
      </c>
      <c r="D43" s="3">
        <f t="shared" si="0"/>
        <v>332.5</v>
      </c>
      <c r="E43" s="3">
        <v>0.34</v>
      </c>
      <c r="F43" s="3">
        <v>1.0109999999999999</v>
      </c>
      <c r="G43" s="3" t="s">
        <v>21</v>
      </c>
      <c r="H43" s="3">
        <v>15.8515297647137</v>
      </c>
      <c r="I43" s="3">
        <v>2.67529886711888</v>
      </c>
      <c r="J43" s="3">
        <v>-6.4198705874989603E-2</v>
      </c>
      <c r="K43" s="3">
        <v>0.95939884546548104</v>
      </c>
      <c r="L43" s="3">
        <v>8.6341999999999999</v>
      </c>
      <c r="M43">
        <v>235</v>
      </c>
      <c r="N43" s="9">
        <v>19.771999999999998</v>
      </c>
      <c r="O43">
        <v>235</v>
      </c>
      <c r="P43">
        <v>42.85</v>
      </c>
      <c r="Q43">
        <v>26132.03</v>
      </c>
    </row>
    <row r="44" spans="1:17">
      <c r="A44" s="3" t="s">
        <v>62</v>
      </c>
      <c r="B44" s="3">
        <v>335</v>
      </c>
      <c r="C44" s="3">
        <v>343</v>
      </c>
      <c r="D44" s="3">
        <f t="shared" si="0"/>
        <v>339</v>
      </c>
      <c r="E44" s="3">
        <v>0.318</v>
      </c>
      <c r="F44" s="3">
        <v>1.0549999999999999</v>
      </c>
      <c r="G44" s="3" t="s">
        <v>21</v>
      </c>
      <c r="H44" s="3">
        <v>16.583759568014699</v>
      </c>
      <c r="I44" s="3">
        <v>2.9098701770152702</v>
      </c>
      <c r="J44" s="3">
        <v>-1.9338864644017101E-2</v>
      </c>
      <c r="K44" s="3">
        <v>0.95387111711293404</v>
      </c>
      <c r="L44" s="3">
        <v>8.7824000000000009</v>
      </c>
      <c r="M44">
        <v>240</v>
      </c>
      <c r="N44" s="10">
        <v>18.056999999999999</v>
      </c>
      <c r="O44">
        <v>240</v>
      </c>
      <c r="P44">
        <v>43.25</v>
      </c>
      <c r="Q44">
        <v>24010.6</v>
      </c>
    </row>
    <row r="45" spans="1:17">
      <c r="A45" s="3" t="s">
        <v>63</v>
      </c>
      <c r="B45" s="3">
        <v>343</v>
      </c>
      <c r="C45" s="3">
        <v>350</v>
      </c>
      <c r="D45" s="3">
        <f t="shared" si="0"/>
        <v>346.5</v>
      </c>
      <c r="E45" s="3">
        <v>0.36199999999999999</v>
      </c>
      <c r="F45" s="3">
        <v>1.091</v>
      </c>
      <c r="G45" s="3" t="s">
        <v>21</v>
      </c>
      <c r="H45" s="3">
        <v>16.612925409924401</v>
      </c>
      <c r="I45" s="3">
        <v>2.7461037805296802</v>
      </c>
      <c r="J45" s="3">
        <v>-5.4802121538377199E-2</v>
      </c>
      <c r="K45" s="3">
        <v>0.95750376160041495</v>
      </c>
      <c r="L45" s="3">
        <v>8.4174000000000007</v>
      </c>
      <c r="M45">
        <v>245</v>
      </c>
      <c r="N45" s="9">
        <v>18.056000000000001</v>
      </c>
      <c r="O45">
        <v>245</v>
      </c>
      <c r="P45">
        <v>40.630000000000003</v>
      </c>
      <c r="Q45">
        <v>26195.29</v>
      </c>
    </row>
    <row r="46" spans="1:17">
      <c r="A46" s="3" t="s">
        <v>64</v>
      </c>
      <c r="B46" s="3">
        <v>350</v>
      </c>
      <c r="C46" s="3">
        <v>355</v>
      </c>
      <c r="D46" s="3">
        <f t="shared" si="0"/>
        <v>352.5</v>
      </c>
      <c r="E46" s="3">
        <v>0.372</v>
      </c>
      <c r="F46" s="3">
        <v>1.0620000000000001</v>
      </c>
      <c r="G46" s="3" t="s">
        <v>21</v>
      </c>
      <c r="H46" s="3">
        <v>15.8974828916724</v>
      </c>
      <c r="I46" s="3">
        <v>2.5733192601130401</v>
      </c>
      <c r="J46" s="3">
        <v>-6.3853679454542595E-2</v>
      </c>
      <c r="K46" s="3">
        <v>0.984884430365777</v>
      </c>
      <c r="L46" s="3">
        <v>8.7095000000000002</v>
      </c>
      <c r="M46">
        <v>250</v>
      </c>
      <c r="N46" s="10">
        <v>16.27</v>
      </c>
      <c r="O46">
        <v>250</v>
      </c>
      <c r="P46">
        <v>39.020000000000003</v>
      </c>
      <c r="Q46">
        <v>24491.279999999999</v>
      </c>
    </row>
    <row r="47" spans="1:17">
      <c r="A47" s="3" t="s">
        <v>65</v>
      </c>
      <c r="B47" s="3">
        <v>360</v>
      </c>
      <c r="C47" s="3">
        <v>365</v>
      </c>
      <c r="D47" s="3">
        <f t="shared" si="0"/>
        <v>362.5</v>
      </c>
      <c r="E47" s="3">
        <v>0.31</v>
      </c>
      <c r="F47" s="3">
        <v>1.03</v>
      </c>
      <c r="G47" s="3" t="s">
        <v>21</v>
      </c>
      <c r="H47" s="3">
        <v>15.711580065143201</v>
      </c>
      <c r="I47" s="3">
        <v>2.7149297785298399</v>
      </c>
      <c r="J47" s="3">
        <v>-4.3342130870615801E-2</v>
      </c>
      <c r="K47" s="3">
        <v>0.95600511795394905</v>
      </c>
      <c r="L47" s="3">
        <v>8.6585000000000001</v>
      </c>
      <c r="M47">
        <v>255</v>
      </c>
      <c r="N47" s="9">
        <v>17.260000000000002</v>
      </c>
      <c r="O47">
        <v>255</v>
      </c>
      <c r="P47">
        <v>37.85</v>
      </c>
      <c r="Q47">
        <v>20730.18</v>
      </c>
    </row>
    <row r="48" spans="1:17">
      <c r="A48" s="3" t="s">
        <v>66</v>
      </c>
      <c r="B48" s="3">
        <v>365</v>
      </c>
      <c r="C48" s="3">
        <v>368</v>
      </c>
      <c r="D48" s="3">
        <f t="shared" si="0"/>
        <v>366.5</v>
      </c>
      <c r="E48" s="3">
        <v>0.38200000000000001</v>
      </c>
      <c r="F48" s="3">
        <v>1.0589999999999999</v>
      </c>
      <c r="G48" s="3" t="s">
        <v>21</v>
      </c>
      <c r="H48" s="3">
        <v>16.5018926722027</v>
      </c>
      <c r="I48" s="3">
        <v>2.6452460941292499</v>
      </c>
      <c r="J48" s="3">
        <v>-5.2252051022221399E-2</v>
      </c>
      <c r="K48" s="3">
        <v>0.97839046413389497</v>
      </c>
      <c r="L48" s="3">
        <v>6.6138000000000003</v>
      </c>
      <c r="M48">
        <v>260</v>
      </c>
      <c r="N48" s="10">
        <v>20.565999999999999</v>
      </c>
      <c r="O48">
        <v>260</v>
      </c>
      <c r="P48">
        <v>39.42</v>
      </c>
      <c r="Q48">
        <v>19533.39</v>
      </c>
    </row>
    <row r="49" spans="1:17">
      <c r="A49" s="3" t="s">
        <v>67</v>
      </c>
      <c r="B49" s="3">
        <v>368</v>
      </c>
      <c r="C49" s="3">
        <v>371</v>
      </c>
      <c r="D49" s="3">
        <f t="shared" si="0"/>
        <v>369.5</v>
      </c>
      <c r="E49" s="3">
        <v>0.34100000000000003</v>
      </c>
      <c r="F49" s="3">
        <v>1.093</v>
      </c>
      <c r="G49" s="3" t="s">
        <v>21</v>
      </c>
      <c r="H49" s="3">
        <v>16.755152874798899</v>
      </c>
      <c r="I49" s="3">
        <v>2.5263380451174702</v>
      </c>
      <c r="J49" s="3">
        <v>-6.8034457477024204E-2</v>
      </c>
      <c r="K49" s="3">
        <v>0.97838336114312996</v>
      </c>
      <c r="L49" s="3">
        <v>7.7596999999999996</v>
      </c>
      <c r="M49">
        <v>265</v>
      </c>
      <c r="N49" s="9">
        <v>21.690999999999999</v>
      </c>
      <c r="O49">
        <v>265</v>
      </c>
      <c r="P49">
        <v>41.38</v>
      </c>
      <c r="Q49">
        <v>19214.810000000001</v>
      </c>
    </row>
    <row r="50" spans="1:17">
      <c r="A50" s="3" t="s">
        <v>68</v>
      </c>
      <c r="B50" s="3">
        <v>371</v>
      </c>
      <c r="C50" s="3">
        <v>380</v>
      </c>
      <c r="D50" s="3">
        <f t="shared" si="0"/>
        <v>375.5</v>
      </c>
      <c r="E50" s="3">
        <v>0.36799999999999999</v>
      </c>
      <c r="F50" s="3">
        <v>1.0629999999999999</v>
      </c>
      <c r="G50" s="3" t="s">
        <v>21</v>
      </c>
      <c r="H50" s="3">
        <v>17.115442564463098</v>
      </c>
      <c r="I50" s="3">
        <v>2.67676978126023</v>
      </c>
      <c r="J50" s="3">
        <v>-5.6967376618064003E-2</v>
      </c>
      <c r="K50" s="3">
        <v>0.97192815576800395</v>
      </c>
      <c r="L50" s="3">
        <v>8.2583000000000002</v>
      </c>
      <c r="M50">
        <v>270</v>
      </c>
      <c r="N50" s="10">
        <v>21.759</v>
      </c>
      <c r="O50">
        <v>270</v>
      </c>
      <c r="P50">
        <v>44.16</v>
      </c>
      <c r="Q50">
        <v>20791.09</v>
      </c>
    </row>
    <row r="51" spans="1:17">
      <c r="A51" s="3" t="s">
        <v>69</v>
      </c>
      <c r="B51" s="3">
        <v>380</v>
      </c>
      <c r="C51" s="3">
        <v>383</v>
      </c>
      <c r="D51" s="3">
        <f t="shared" si="0"/>
        <v>381.5</v>
      </c>
      <c r="E51" s="3">
        <v>0.30399999999999999</v>
      </c>
      <c r="F51" s="3">
        <v>1.0269999999999999</v>
      </c>
      <c r="G51" s="3" t="s">
        <v>21</v>
      </c>
      <c r="H51" s="3">
        <v>17.3996114514133</v>
      </c>
      <c r="I51" s="3">
        <v>2.69068749001298</v>
      </c>
      <c r="J51" s="3">
        <v>-5.6753750269026799E-2</v>
      </c>
      <c r="K51" s="3">
        <v>0.98015679557826196</v>
      </c>
      <c r="L51" s="3">
        <v>8.8497000000000003</v>
      </c>
      <c r="M51">
        <v>275</v>
      </c>
      <c r="N51" s="9">
        <v>20.236000000000001</v>
      </c>
      <c r="O51">
        <v>275</v>
      </c>
      <c r="P51">
        <v>42.02</v>
      </c>
      <c r="Q51">
        <v>21961.919999999998</v>
      </c>
    </row>
    <row r="52" spans="1:17">
      <c r="A52" s="3" t="s">
        <v>70</v>
      </c>
      <c r="B52" s="3">
        <v>383</v>
      </c>
      <c r="C52" s="3">
        <v>386</v>
      </c>
      <c r="D52" s="3">
        <f t="shared" si="0"/>
        <v>384.5</v>
      </c>
      <c r="E52" s="3">
        <v>0.33100000000000002</v>
      </c>
      <c r="F52" s="3">
        <v>1</v>
      </c>
      <c r="G52" s="3" t="s">
        <v>21</v>
      </c>
      <c r="H52" s="3">
        <v>17.3398324454826</v>
      </c>
      <c r="I52" s="3">
        <v>2.6335857527278699</v>
      </c>
      <c r="J52" s="3">
        <v>-5.3139451564592897E-2</v>
      </c>
      <c r="K52" s="3">
        <v>0.99544718731651305</v>
      </c>
      <c r="L52" s="3">
        <v>8.6887000000000008</v>
      </c>
      <c r="M52">
        <v>280</v>
      </c>
      <c r="N52" s="10">
        <v>16.931000000000001</v>
      </c>
      <c r="O52">
        <v>280</v>
      </c>
      <c r="P52">
        <v>39.57</v>
      </c>
      <c r="Q52">
        <v>22724.85</v>
      </c>
    </row>
    <row r="53" spans="1:17">
      <c r="A53" s="3" t="s">
        <v>71</v>
      </c>
      <c r="B53" s="3">
        <v>386</v>
      </c>
      <c r="C53" s="3">
        <v>390</v>
      </c>
      <c r="D53" s="3">
        <f t="shared" si="0"/>
        <v>388</v>
      </c>
      <c r="E53" s="3">
        <v>0.34</v>
      </c>
      <c r="F53" s="3">
        <v>1.018</v>
      </c>
      <c r="G53" s="3" t="s">
        <v>21</v>
      </c>
      <c r="H53" s="3">
        <v>16.940258792307802</v>
      </c>
      <c r="I53" s="3">
        <v>2.4635326709811398</v>
      </c>
      <c r="J53" s="3">
        <v>-7.3112605927879201E-2</v>
      </c>
      <c r="K53" s="3">
        <v>0.99510236491085802</v>
      </c>
      <c r="L53" s="3"/>
      <c r="M53">
        <v>285</v>
      </c>
      <c r="N53" s="9">
        <v>17.327999999999999</v>
      </c>
      <c r="O53">
        <v>285</v>
      </c>
      <c r="P53">
        <v>38.1</v>
      </c>
      <c r="Q53">
        <v>18846.18</v>
      </c>
    </row>
    <row r="54" spans="1:17">
      <c r="A54" s="3" t="s">
        <v>72</v>
      </c>
      <c r="B54" s="3">
        <v>390</v>
      </c>
      <c r="C54" s="3">
        <v>393</v>
      </c>
      <c r="D54" s="3">
        <f t="shared" si="0"/>
        <v>391.5</v>
      </c>
      <c r="E54" s="3">
        <v>0.38700000000000001</v>
      </c>
      <c r="F54" s="3">
        <v>1.05</v>
      </c>
      <c r="G54" s="3" t="s">
        <v>73</v>
      </c>
      <c r="H54" s="3">
        <v>16.3957008847038</v>
      </c>
      <c r="I54" s="3">
        <v>2.4028268564569202</v>
      </c>
      <c r="J54" s="3">
        <v>-7.6936787662569894E-2</v>
      </c>
      <c r="K54" s="3">
        <v>0.98857169184564997</v>
      </c>
      <c r="L54" s="3"/>
      <c r="M54">
        <v>290</v>
      </c>
      <c r="N54" s="10">
        <v>18.187999999999999</v>
      </c>
      <c r="O54">
        <v>290</v>
      </c>
      <c r="P54">
        <v>39</v>
      </c>
      <c r="Q54">
        <v>19468.509999999998</v>
      </c>
    </row>
    <row r="55" spans="1:17">
      <c r="A55" s="3" t="s">
        <v>74</v>
      </c>
      <c r="B55" s="3">
        <v>395</v>
      </c>
      <c r="C55" s="3">
        <v>400</v>
      </c>
      <c r="D55" s="3">
        <f t="shared" si="0"/>
        <v>397.5</v>
      </c>
      <c r="E55" s="3">
        <v>0.307</v>
      </c>
      <c r="F55" s="3">
        <v>1.0580000000000001</v>
      </c>
      <c r="G55" s="3" t="s">
        <v>73</v>
      </c>
      <c r="H55" s="3">
        <v>16.454886994423401</v>
      </c>
      <c r="I55" s="3">
        <v>2.6766375587540998</v>
      </c>
      <c r="J55" s="3">
        <v>-6.5131034166713495E-2</v>
      </c>
      <c r="K55" s="3">
        <v>0.96670273516183802</v>
      </c>
      <c r="L55" s="3"/>
      <c r="M55">
        <v>295</v>
      </c>
      <c r="N55" s="9">
        <v>20.565999999999999</v>
      </c>
      <c r="O55">
        <v>295</v>
      </c>
      <c r="P55">
        <v>40.58</v>
      </c>
      <c r="Q55">
        <v>19446.18</v>
      </c>
    </row>
    <row r="56" spans="1:17">
      <c r="A56" s="3" t="s">
        <v>75</v>
      </c>
      <c r="B56" s="3">
        <v>402</v>
      </c>
      <c r="C56" s="3">
        <v>406</v>
      </c>
      <c r="D56" s="3">
        <f t="shared" si="0"/>
        <v>404</v>
      </c>
      <c r="E56" s="3">
        <v>0.38700000000000001</v>
      </c>
      <c r="F56" s="3">
        <v>1.0209999999999999</v>
      </c>
      <c r="G56" s="3" t="s">
        <v>73</v>
      </c>
      <c r="H56" s="3">
        <v>16.7437508754231</v>
      </c>
      <c r="I56" s="3">
        <v>2.63801678688362</v>
      </c>
      <c r="J56" s="3">
        <v>-6.3703607362605705E-2</v>
      </c>
      <c r="K56" s="3">
        <v>0.98509213841811005</v>
      </c>
      <c r="L56" s="3"/>
      <c r="M56">
        <v>300</v>
      </c>
      <c r="N56" s="10">
        <v>20.373999999999999</v>
      </c>
      <c r="O56">
        <v>300</v>
      </c>
      <c r="P56">
        <v>42.06</v>
      </c>
      <c r="Q56">
        <v>22273.75</v>
      </c>
    </row>
    <row r="57" spans="1:17">
      <c r="A57" s="3" t="s">
        <v>76</v>
      </c>
      <c r="B57" s="3">
        <v>412</v>
      </c>
      <c r="C57" s="3">
        <v>416</v>
      </c>
      <c r="D57" s="3">
        <f t="shared" si="0"/>
        <v>414</v>
      </c>
      <c r="E57" s="3">
        <v>0.372</v>
      </c>
      <c r="F57" s="3">
        <v>1.093</v>
      </c>
      <c r="G57" s="3" t="s">
        <v>73</v>
      </c>
      <c r="H57" s="3">
        <v>17.698277489199601</v>
      </c>
      <c r="I57" s="3">
        <v>2.5438331806357199</v>
      </c>
      <c r="J57" s="3">
        <v>-6.7597440626103095E-2</v>
      </c>
      <c r="K57" s="3">
        <v>1.00195890263497</v>
      </c>
      <c r="L57" s="3"/>
      <c r="M57">
        <v>305</v>
      </c>
      <c r="N57" s="9">
        <v>20.504000000000001</v>
      </c>
      <c r="O57">
        <v>305</v>
      </c>
      <c r="P57">
        <v>41.91</v>
      </c>
      <c r="Q57">
        <v>19016.87</v>
      </c>
    </row>
    <row r="58" spans="1:17">
      <c r="A58" s="3" t="s">
        <v>77</v>
      </c>
      <c r="B58" s="3">
        <v>416</v>
      </c>
      <c r="C58" s="3">
        <v>420</v>
      </c>
      <c r="D58" s="3">
        <f t="shared" si="0"/>
        <v>418</v>
      </c>
      <c r="E58" s="3">
        <v>0.33400000000000002</v>
      </c>
      <c r="F58" s="3">
        <v>1.012</v>
      </c>
      <c r="G58" s="3" t="s">
        <v>73</v>
      </c>
      <c r="H58" s="3">
        <v>17.9912891291055</v>
      </c>
      <c r="I58" s="3">
        <v>2.4904276959731502</v>
      </c>
      <c r="J58" s="3">
        <v>-8.2364253665511797E-2</v>
      </c>
      <c r="K58" s="3">
        <v>0.99905761620935596</v>
      </c>
      <c r="L58" s="3"/>
      <c r="M58">
        <v>310</v>
      </c>
      <c r="N58" s="10">
        <v>19.844000000000001</v>
      </c>
      <c r="O58">
        <v>310</v>
      </c>
      <c r="P58">
        <v>42.11</v>
      </c>
      <c r="Q58">
        <v>14677.24</v>
      </c>
    </row>
    <row r="59" spans="1:17">
      <c r="A59" s="3" t="s">
        <v>78</v>
      </c>
      <c r="B59" s="3">
        <v>420</v>
      </c>
      <c r="C59" s="3">
        <v>423</v>
      </c>
      <c r="D59" s="3">
        <f t="shared" si="0"/>
        <v>421.5</v>
      </c>
      <c r="E59" s="3">
        <v>0.30199999999999999</v>
      </c>
      <c r="F59" s="3">
        <v>1.095</v>
      </c>
      <c r="G59" s="3" t="s">
        <v>73</v>
      </c>
      <c r="H59" s="3">
        <v>18.257728020753198</v>
      </c>
      <c r="I59" s="3">
        <v>2.43429542142287</v>
      </c>
      <c r="J59" s="3">
        <v>-8.2880677562552602E-2</v>
      </c>
      <c r="K59" s="3">
        <v>1.0057301015972699</v>
      </c>
      <c r="L59" s="3"/>
      <c r="M59">
        <v>315</v>
      </c>
      <c r="N59" s="9">
        <v>21.427</v>
      </c>
      <c r="O59">
        <v>315</v>
      </c>
      <c r="P59">
        <v>40</v>
      </c>
      <c r="Q59">
        <v>17459.759999999998</v>
      </c>
    </row>
    <row r="60" spans="1:17">
      <c r="A60" s="3" t="s">
        <v>79</v>
      </c>
      <c r="B60" s="3">
        <v>423</v>
      </c>
      <c r="C60" s="3">
        <v>426</v>
      </c>
      <c r="D60" s="3">
        <f t="shared" si="0"/>
        <v>424.5</v>
      </c>
      <c r="E60" s="3">
        <v>0.35699999999999998</v>
      </c>
      <c r="F60" s="3">
        <v>1.079</v>
      </c>
      <c r="G60" s="3" t="s">
        <v>73</v>
      </c>
      <c r="H60" s="3">
        <v>16.6276878454829</v>
      </c>
      <c r="I60" s="3">
        <v>2.23290442390141</v>
      </c>
      <c r="J60" s="3">
        <v>-6.5459970020442099E-2</v>
      </c>
      <c r="K60" s="3">
        <v>1.01391257634543</v>
      </c>
      <c r="L60" s="3"/>
      <c r="M60">
        <v>320</v>
      </c>
      <c r="N60" s="10">
        <v>17.327000000000002</v>
      </c>
      <c r="O60">
        <v>320</v>
      </c>
      <c r="P60">
        <v>39.590000000000003</v>
      </c>
      <c r="Q60">
        <v>16842.009999999998</v>
      </c>
    </row>
    <row r="61" spans="1:17">
      <c r="A61" s="3" t="s">
        <v>80</v>
      </c>
      <c r="B61" s="3">
        <v>426</v>
      </c>
      <c r="C61" s="3">
        <v>430</v>
      </c>
      <c r="D61" s="3">
        <f t="shared" si="0"/>
        <v>428</v>
      </c>
      <c r="E61" s="3">
        <v>0.3</v>
      </c>
      <c r="F61" s="3">
        <v>1.016</v>
      </c>
      <c r="G61" s="3" t="s">
        <v>73</v>
      </c>
      <c r="H61" s="3">
        <v>17.453877757397201</v>
      </c>
      <c r="I61" s="3">
        <v>2.2952997647965798</v>
      </c>
      <c r="J61" s="3">
        <v>-7.5538435505543094E-2</v>
      </c>
      <c r="K61" s="3">
        <v>1.02122912926391</v>
      </c>
      <c r="L61" s="3"/>
      <c r="M61">
        <v>325</v>
      </c>
      <c r="N61" s="9">
        <v>15.411</v>
      </c>
      <c r="O61">
        <v>325</v>
      </c>
      <c r="P61">
        <v>37.53</v>
      </c>
      <c r="Q61">
        <v>16022.84</v>
      </c>
    </row>
    <row r="62" spans="1:17">
      <c r="A62" s="3" t="s">
        <v>81</v>
      </c>
      <c r="B62" s="3">
        <v>430</v>
      </c>
      <c r="C62" s="3">
        <v>435</v>
      </c>
      <c r="D62" s="3">
        <f t="shared" si="0"/>
        <v>432.5</v>
      </c>
      <c r="E62" s="3">
        <v>0.30599999999999999</v>
      </c>
      <c r="F62" s="3">
        <v>1.0529999999999999</v>
      </c>
      <c r="G62" s="3" t="s">
        <v>73</v>
      </c>
      <c r="H62" s="3">
        <v>18.325460841122599</v>
      </c>
      <c r="I62" s="3">
        <v>2.3848042175520598</v>
      </c>
      <c r="J62" s="3">
        <v>-7.0858729650314395E-2</v>
      </c>
      <c r="K62" s="3">
        <v>1.02352130905182</v>
      </c>
      <c r="L62" s="3"/>
      <c r="M62">
        <v>330</v>
      </c>
      <c r="N62" s="10">
        <v>16.135999999999999</v>
      </c>
      <c r="O62">
        <v>330</v>
      </c>
      <c r="P62">
        <v>36.29</v>
      </c>
      <c r="Q62">
        <v>16302.37</v>
      </c>
    </row>
    <row r="63" spans="1:17">
      <c r="A63" s="3" t="s">
        <v>82</v>
      </c>
      <c r="B63" s="3">
        <v>435</v>
      </c>
      <c r="C63" s="3">
        <v>440</v>
      </c>
      <c r="D63" s="3">
        <f t="shared" si="0"/>
        <v>437.5</v>
      </c>
      <c r="E63" s="3">
        <v>0.377</v>
      </c>
      <c r="F63" s="3">
        <v>1.042</v>
      </c>
      <c r="G63" s="3" t="s">
        <v>73</v>
      </c>
      <c r="H63" s="3">
        <v>18.349921169625599</v>
      </c>
      <c r="I63" s="3">
        <v>2.24432462613203</v>
      </c>
      <c r="J63" s="3">
        <v>-8.3179676353616602E-2</v>
      </c>
      <c r="K63" s="3">
        <v>1.0194075307531101</v>
      </c>
      <c r="L63" s="3"/>
      <c r="M63">
        <v>335</v>
      </c>
      <c r="N63" s="9">
        <v>16.734999999999999</v>
      </c>
      <c r="O63">
        <v>335</v>
      </c>
      <c r="P63">
        <v>36.6</v>
      </c>
      <c r="Q63">
        <v>15051.95</v>
      </c>
    </row>
    <row r="64" spans="1:17">
      <c r="A64" s="3" t="s">
        <v>83</v>
      </c>
      <c r="B64" s="3">
        <v>440</v>
      </c>
      <c r="C64" s="3">
        <v>445</v>
      </c>
      <c r="D64" s="3">
        <f t="shared" si="0"/>
        <v>442.5</v>
      </c>
      <c r="E64" s="3">
        <v>0.39400000000000002</v>
      </c>
      <c r="F64" s="3">
        <v>1.0469999999999999</v>
      </c>
      <c r="G64" s="3" t="s">
        <v>73</v>
      </c>
      <c r="H64" s="3">
        <v>18.1871206977913</v>
      </c>
      <c r="I64" s="3">
        <v>2.3904522674896098</v>
      </c>
      <c r="J64" s="3">
        <v>-8.2429004567425093E-2</v>
      </c>
      <c r="K64" s="3">
        <v>1.0140735545192301</v>
      </c>
      <c r="L64" s="3"/>
      <c r="M64">
        <v>340</v>
      </c>
      <c r="N64" s="10">
        <v>15.21</v>
      </c>
      <c r="O64">
        <v>340</v>
      </c>
      <c r="P64">
        <v>37.36</v>
      </c>
      <c r="Q64">
        <v>15052.84</v>
      </c>
    </row>
    <row r="65" spans="1:17">
      <c r="A65" s="3" t="s">
        <v>84</v>
      </c>
      <c r="B65" s="3">
        <v>445</v>
      </c>
      <c r="C65" s="3">
        <v>450</v>
      </c>
      <c r="D65" s="3">
        <f t="shared" si="0"/>
        <v>447.5</v>
      </c>
      <c r="E65" s="3">
        <v>0.313</v>
      </c>
      <c r="F65" s="3">
        <v>1.0649999999999999</v>
      </c>
      <c r="G65" s="3" t="s">
        <v>73</v>
      </c>
      <c r="H65" s="3">
        <v>17.6448954568076</v>
      </c>
      <c r="I65" s="3">
        <v>2.4068032417591598</v>
      </c>
      <c r="J65" s="3">
        <v>-8.6202229958297696E-2</v>
      </c>
      <c r="K65" s="3">
        <v>1.00706879712405</v>
      </c>
      <c r="L65" s="3"/>
      <c r="M65">
        <v>345</v>
      </c>
      <c r="N65" s="9">
        <v>15.215</v>
      </c>
      <c r="O65">
        <v>345</v>
      </c>
      <c r="P65">
        <v>37.33</v>
      </c>
      <c r="Q65">
        <v>13761.85</v>
      </c>
    </row>
    <row r="66" spans="1:17">
      <c r="A66" s="3" t="s">
        <v>85</v>
      </c>
      <c r="B66" s="3">
        <v>450</v>
      </c>
      <c r="C66" s="3">
        <v>455</v>
      </c>
      <c r="D66" s="3">
        <f t="shared" si="0"/>
        <v>452.5</v>
      </c>
      <c r="E66" s="3">
        <v>0.377</v>
      </c>
      <c r="F66" s="3">
        <v>1.004</v>
      </c>
      <c r="G66" s="3" t="s">
        <v>73</v>
      </c>
      <c r="H66" s="3">
        <v>17.4611860802327</v>
      </c>
      <c r="I66" s="3">
        <v>2.4204352426426099</v>
      </c>
      <c r="J66" s="3">
        <v>-7.4674843466426694E-2</v>
      </c>
      <c r="K66" s="3">
        <v>1.01083563879292</v>
      </c>
      <c r="L66" s="3"/>
      <c r="M66">
        <v>350</v>
      </c>
      <c r="N66" s="10">
        <v>15.212</v>
      </c>
      <c r="O66">
        <v>350</v>
      </c>
      <c r="P66">
        <v>38.26</v>
      </c>
      <c r="Q66">
        <v>17334.29</v>
      </c>
    </row>
    <row r="67" spans="1:17">
      <c r="A67" s="3" t="s">
        <v>86</v>
      </c>
      <c r="B67" s="3">
        <v>455</v>
      </c>
      <c r="C67" s="3">
        <v>460</v>
      </c>
      <c r="D67" s="3">
        <f t="shared" si="0"/>
        <v>457.5</v>
      </c>
      <c r="E67" s="3">
        <v>0.38500000000000001</v>
      </c>
      <c r="F67" s="3">
        <v>1.0429999999999999</v>
      </c>
      <c r="G67" s="3" t="s">
        <v>73</v>
      </c>
      <c r="H67" s="3">
        <v>17.053523986475302</v>
      </c>
      <c r="I67" s="3">
        <v>2.3548181342551202</v>
      </c>
      <c r="J67" s="3">
        <v>-7.9682976580907006E-2</v>
      </c>
      <c r="K67" s="3">
        <v>1.0122456805186499</v>
      </c>
      <c r="L67" s="3"/>
      <c r="M67">
        <v>355</v>
      </c>
      <c r="N67" s="9">
        <v>15.475</v>
      </c>
      <c r="O67">
        <v>355</v>
      </c>
      <c r="P67">
        <v>38.15</v>
      </c>
      <c r="Q67">
        <v>18846.07</v>
      </c>
    </row>
    <row r="68" spans="1:17">
      <c r="A68" s="3" t="s">
        <v>87</v>
      </c>
      <c r="B68" s="3">
        <v>460</v>
      </c>
      <c r="C68" s="3">
        <v>462</v>
      </c>
      <c r="D68" s="3">
        <f t="shared" ref="D68:D131" si="1">B68+(C68-B68)/2</f>
        <v>461</v>
      </c>
      <c r="E68" s="3">
        <v>0.30599999999999999</v>
      </c>
      <c r="F68" s="3">
        <v>1.022</v>
      </c>
      <c r="G68" s="3" t="s">
        <v>73</v>
      </c>
      <c r="H68" s="3">
        <v>17.707459201962902</v>
      </c>
      <c r="I68" s="3">
        <v>2.3213231746835499</v>
      </c>
      <c r="J68" s="3">
        <v>-5.3139842979787702E-2</v>
      </c>
      <c r="K68" s="3">
        <v>1.0354308037120701</v>
      </c>
      <c r="L68" s="3"/>
      <c r="M68">
        <v>360</v>
      </c>
      <c r="N68" s="10">
        <v>15.943</v>
      </c>
      <c r="O68">
        <v>360</v>
      </c>
      <c r="P68">
        <v>36.619999999999997</v>
      </c>
      <c r="Q68">
        <v>18647.900000000001</v>
      </c>
    </row>
    <row r="69" spans="1:17">
      <c r="A69" s="3" t="s">
        <v>88</v>
      </c>
      <c r="B69" s="3">
        <v>462</v>
      </c>
      <c r="C69" s="3">
        <v>465</v>
      </c>
      <c r="D69" s="3">
        <f t="shared" si="1"/>
        <v>463.5</v>
      </c>
      <c r="E69" s="3">
        <v>0.313</v>
      </c>
      <c r="F69" s="3">
        <v>1.0089999999999999</v>
      </c>
      <c r="G69" s="3" t="s">
        <v>73</v>
      </c>
      <c r="H69" s="3">
        <v>16.825408572613298</v>
      </c>
      <c r="I69" s="3">
        <v>2.2067310249175098</v>
      </c>
      <c r="J69" s="3">
        <v>-6.4664214613635404E-2</v>
      </c>
      <c r="K69" s="3">
        <v>1.0208093783757</v>
      </c>
      <c r="L69" s="3"/>
      <c r="M69">
        <v>365</v>
      </c>
      <c r="N69" s="9">
        <v>16.670000000000002</v>
      </c>
      <c r="O69">
        <v>365</v>
      </c>
      <c r="P69">
        <v>35.5</v>
      </c>
      <c r="Q69">
        <v>17219.21</v>
      </c>
    </row>
    <row r="70" spans="1:17">
      <c r="A70" s="3" t="s">
        <v>89</v>
      </c>
      <c r="B70" s="3">
        <v>465</v>
      </c>
      <c r="C70" s="3">
        <v>470</v>
      </c>
      <c r="D70" s="3">
        <f t="shared" si="1"/>
        <v>467.5</v>
      </c>
      <c r="E70" s="3">
        <v>0.39100000000000001</v>
      </c>
      <c r="F70" s="3">
        <v>1.0509999999999999</v>
      </c>
      <c r="G70" s="3" t="s">
        <v>73</v>
      </c>
      <c r="H70" s="3">
        <v>17.057439280039102</v>
      </c>
      <c r="I70" s="3">
        <v>2.33676690833496</v>
      </c>
      <c r="J70" s="3">
        <v>-5.3925351679045101E-2</v>
      </c>
      <c r="K70" s="3">
        <v>1.0318160621996399</v>
      </c>
      <c r="L70" s="3"/>
      <c r="M70">
        <v>370</v>
      </c>
      <c r="N70" s="10">
        <v>15.28</v>
      </c>
      <c r="O70">
        <v>370</v>
      </c>
      <c r="P70">
        <v>35.840000000000003</v>
      </c>
      <c r="Q70">
        <v>15766.02</v>
      </c>
    </row>
    <row r="71" spans="1:17">
      <c r="A71" s="3" t="s">
        <v>90</v>
      </c>
      <c r="B71" s="3">
        <v>470</v>
      </c>
      <c r="C71" s="3">
        <v>475</v>
      </c>
      <c r="D71" s="3">
        <f t="shared" si="1"/>
        <v>472.5</v>
      </c>
      <c r="E71" s="3">
        <v>0.317</v>
      </c>
      <c r="F71" s="3">
        <v>1.0329999999999999</v>
      </c>
      <c r="G71" s="3" t="s">
        <v>73</v>
      </c>
      <c r="H71" s="3">
        <v>16.450608143888701</v>
      </c>
      <c r="I71" s="3">
        <v>2.49244625550135</v>
      </c>
      <c r="J71" s="3">
        <v>-8.6039229202098194E-2</v>
      </c>
      <c r="K71" s="3">
        <v>1.00234529018118</v>
      </c>
      <c r="L71" s="3"/>
      <c r="M71">
        <v>375</v>
      </c>
      <c r="N71" s="9">
        <v>16.207999999999998</v>
      </c>
      <c r="O71">
        <v>375</v>
      </c>
      <c r="P71">
        <v>34.79</v>
      </c>
      <c r="Q71">
        <v>11668.21</v>
      </c>
    </row>
    <row r="72" spans="1:17">
      <c r="A72" s="3" t="s">
        <v>91</v>
      </c>
      <c r="B72" s="3">
        <v>475</v>
      </c>
      <c r="C72" s="3">
        <v>477</v>
      </c>
      <c r="D72" s="3">
        <f t="shared" si="1"/>
        <v>476</v>
      </c>
      <c r="E72" s="3">
        <v>0.36799999999999999</v>
      </c>
      <c r="F72" s="3">
        <v>1.0009999999999999</v>
      </c>
      <c r="G72" s="3" t="s">
        <v>73</v>
      </c>
      <c r="H72" s="3">
        <v>16.234082421005599</v>
      </c>
      <c r="I72" s="3">
        <v>2.36504571634479</v>
      </c>
      <c r="J72" s="3">
        <v>-0.11637783864854501</v>
      </c>
      <c r="K72" s="3">
        <v>0.997889542406179</v>
      </c>
      <c r="L72" s="3"/>
      <c r="M72">
        <v>380</v>
      </c>
      <c r="N72" s="10">
        <v>16.995999999999999</v>
      </c>
      <c r="O72">
        <v>380</v>
      </c>
      <c r="P72">
        <v>35.97</v>
      </c>
      <c r="Q72">
        <v>14658.75</v>
      </c>
    </row>
    <row r="73" spans="1:17">
      <c r="A73" s="3" t="s">
        <v>92</v>
      </c>
      <c r="B73" s="3">
        <v>477</v>
      </c>
      <c r="C73" s="3">
        <v>480</v>
      </c>
      <c r="D73" s="3">
        <f t="shared" si="1"/>
        <v>478.5</v>
      </c>
      <c r="E73" s="3">
        <v>0.377</v>
      </c>
      <c r="F73" s="3">
        <v>1.0940000000000001</v>
      </c>
      <c r="G73" s="3" t="s">
        <v>73</v>
      </c>
      <c r="H73" s="3">
        <v>17.101903750439799</v>
      </c>
      <c r="I73" s="3">
        <v>2.6132628808534402</v>
      </c>
      <c r="J73" s="3">
        <v>-7.61545526278853E-2</v>
      </c>
      <c r="K73" s="3">
        <v>0.98987840859769904</v>
      </c>
      <c r="L73" s="3"/>
      <c r="M73">
        <v>385</v>
      </c>
      <c r="N73" s="9">
        <v>18.385999999999999</v>
      </c>
      <c r="O73">
        <v>385</v>
      </c>
      <c r="P73">
        <v>36.659999999999997</v>
      </c>
      <c r="Q73">
        <v>16404.11</v>
      </c>
    </row>
    <row r="74" spans="1:17">
      <c r="A74" s="3" t="s">
        <v>93</v>
      </c>
      <c r="B74" s="3">
        <v>480</v>
      </c>
      <c r="C74" s="3">
        <v>483</v>
      </c>
      <c r="D74" s="3">
        <f t="shared" si="1"/>
        <v>481.5</v>
      </c>
      <c r="E74" s="3">
        <v>0.313</v>
      </c>
      <c r="F74" s="3">
        <v>1.087</v>
      </c>
      <c r="G74" s="3" t="s">
        <v>73</v>
      </c>
      <c r="H74" s="3"/>
      <c r="I74" s="3"/>
      <c r="J74" s="3"/>
      <c r="K74" s="3"/>
      <c r="L74" s="3"/>
      <c r="M74">
        <v>390</v>
      </c>
      <c r="N74" s="10">
        <v>16.928000000000001</v>
      </c>
      <c r="O74">
        <v>390</v>
      </c>
      <c r="P74">
        <v>36.67</v>
      </c>
      <c r="Q74">
        <v>17525.259999999998</v>
      </c>
    </row>
    <row r="75" spans="1:17">
      <c r="A75" s="3" t="s">
        <v>94</v>
      </c>
      <c r="B75" s="3">
        <v>483</v>
      </c>
      <c r="C75" s="3">
        <v>485</v>
      </c>
      <c r="D75" s="3">
        <f t="shared" si="1"/>
        <v>484</v>
      </c>
      <c r="E75" s="3">
        <v>0.30399999999999999</v>
      </c>
      <c r="F75" s="3">
        <v>1.089</v>
      </c>
      <c r="G75" s="3" t="s">
        <v>73</v>
      </c>
      <c r="H75" s="3">
        <v>17.775455974689599</v>
      </c>
      <c r="I75" s="3">
        <v>2.3928532892204402</v>
      </c>
      <c r="J75" s="3">
        <v>-8.3165168522412694E-2</v>
      </c>
      <c r="K75" s="3">
        <v>1.0100605497791899</v>
      </c>
      <c r="L75" s="3"/>
      <c r="M75">
        <v>395</v>
      </c>
      <c r="N75" s="9">
        <v>17.917999999999999</v>
      </c>
      <c r="O75">
        <v>395</v>
      </c>
      <c r="P75">
        <v>37.39</v>
      </c>
      <c r="Q75">
        <v>19137.849999999999</v>
      </c>
    </row>
    <row r="76" spans="1:17">
      <c r="A76" s="3" t="s">
        <v>95</v>
      </c>
      <c r="B76" s="3">
        <v>485</v>
      </c>
      <c r="C76" s="3">
        <v>489</v>
      </c>
      <c r="D76" s="3">
        <f t="shared" si="1"/>
        <v>487</v>
      </c>
      <c r="E76" s="3">
        <v>0.39</v>
      </c>
      <c r="F76" s="3">
        <v>1.0740000000000001</v>
      </c>
      <c r="G76" s="3" t="s">
        <v>73</v>
      </c>
      <c r="H76" s="3">
        <v>17.018535442161799</v>
      </c>
      <c r="I76" s="3">
        <v>2.20187277011956</v>
      </c>
      <c r="J76" s="3">
        <v>-7.9945580248441797E-2</v>
      </c>
      <c r="K76" s="3">
        <v>1.0157478056375899</v>
      </c>
      <c r="L76" s="3"/>
      <c r="M76">
        <v>400</v>
      </c>
      <c r="N76" s="10">
        <v>19.181000000000001</v>
      </c>
      <c r="O76">
        <v>400</v>
      </c>
      <c r="P76">
        <v>37.51</v>
      </c>
      <c r="Q76">
        <v>20634.91</v>
      </c>
    </row>
    <row r="77" spans="1:17">
      <c r="A77" s="3" t="s">
        <v>96</v>
      </c>
      <c r="B77" s="3">
        <v>489</v>
      </c>
      <c r="C77" s="3">
        <v>491</v>
      </c>
      <c r="D77" s="3">
        <f t="shared" si="1"/>
        <v>490</v>
      </c>
      <c r="E77" s="3">
        <v>0.39500000000000002</v>
      </c>
      <c r="F77" s="3">
        <v>1.01</v>
      </c>
      <c r="G77" s="3" t="s">
        <v>73</v>
      </c>
      <c r="H77" s="3">
        <v>17.653934148927402</v>
      </c>
      <c r="I77" s="3">
        <v>2.3600287005241398</v>
      </c>
      <c r="J77" s="3">
        <v>-7.4421296457607394E-2</v>
      </c>
      <c r="K77" s="3">
        <v>1.01419591271137</v>
      </c>
      <c r="L77" s="3"/>
      <c r="M77">
        <v>405</v>
      </c>
      <c r="N77" s="9">
        <v>18.710999999999999</v>
      </c>
      <c r="O77">
        <v>405</v>
      </c>
      <c r="P77">
        <v>37.83</v>
      </c>
      <c r="Q77">
        <v>20356.53</v>
      </c>
    </row>
    <row r="78" spans="1:17">
      <c r="A78" s="3" t="s">
        <v>97</v>
      </c>
      <c r="B78" s="3">
        <v>491</v>
      </c>
      <c r="C78" s="3">
        <v>493</v>
      </c>
      <c r="D78" s="3">
        <f t="shared" si="1"/>
        <v>492</v>
      </c>
      <c r="E78" s="3">
        <v>0.31</v>
      </c>
      <c r="F78" s="3">
        <v>1.0609999999999999</v>
      </c>
      <c r="G78" s="3" t="s">
        <v>73</v>
      </c>
      <c r="H78" s="3">
        <v>15.9953879285036</v>
      </c>
      <c r="I78" s="3">
        <v>2.1138273350771</v>
      </c>
      <c r="J78" s="3">
        <v>-8.43014980799386E-2</v>
      </c>
      <c r="K78" s="3">
        <v>1.00962002975361</v>
      </c>
      <c r="L78" s="3"/>
      <c r="M78">
        <v>410</v>
      </c>
      <c r="N78" s="10">
        <v>19.109000000000002</v>
      </c>
      <c r="O78">
        <v>410</v>
      </c>
      <c r="P78">
        <v>37.08</v>
      </c>
      <c r="Q78">
        <v>20951.86</v>
      </c>
    </row>
    <row r="79" spans="1:17">
      <c r="A79" s="3" t="s">
        <v>98</v>
      </c>
      <c r="B79" s="3">
        <v>493</v>
      </c>
      <c r="C79" s="3">
        <v>495</v>
      </c>
      <c r="D79" s="3">
        <f t="shared" si="1"/>
        <v>494</v>
      </c>
      <c r="E79" s="3">
        <v>0.35699999999999998</v>
      </c>
      <c r="F79" s="3">
        <v>1.0149999999999999</v>
      </c>
      <c r="G79" s="3" t="s">
        <v>73</v>
      </c>
      <c r="H79" s="3">
        <v>15.6283855397346</v>
      </c>
      <c r="I79" s="3">
        <v>2.2267847112719998</v>
      </c>
      <c r="J79" s="3">
        <v>-6.85131949861916E-2</v>
      </c>
      <c r="K79" s="3">
        <v>1.0106940824174699</v>
      </c>
      <c r="L79" s="3"/>
      <c r="M79">
        <v>415</v>
      </c>
      <c r="N79" s="9">
        <v>19.042999999999999</v>
      </c>
      <c r="O79">
        <v>415</v>
      </c>
      <c r="P79">
        <v>37.35</v>
      </c>
      <c r="Q79">
        <v>21466.240000000002</v>
      </c>
    </row>
    <row r="80" spans="1:17">
      <c r="A80" s="3" t="s">
        <v>99</v>
      </c>
      <c r="B80" s="3">
        <v>495</v>
      </c>
      <c r="C80" s="3">
        <v>500</v>
      </c>
      <c r="D80" s="3">
        <f t="shared" si="1"/>
        <v>497.5</v>
      </c>
      <c r="E80" s="3">
        <v>0.36299999999999999</v>
      </c>
      <c r="F80" s="3">
        <v>1.0780000000000001</v>
      </c>
      <c r="G80" s="3" t="s">
        <v>73</v>
      </c>
      <c r="H80" s="3">
        <v>15.5762558695598</v>
      </c>
      <c r="I80" s="3">
        <v>2.2323713286114102</v>
      </c>
      <c r="J80" s="3">
        <v>-7.6716075314051696E-2</v>
      </c>
      <c r="K80" s="3">
        <v>1.00850689672628</v>
      </c>
      <c r="L80" s="3"/>
      <c r="M80">
        <v>420</v>
      </c>
      <c r="N80" s="10">
        <v>20.898</v>
      </c>
      <c r="O80">
        <v>420</v>
      </c>
      <c r="P80">
        <v>38.64</v>
      </c>
      <c r="Q80">
        <v>19829.25</v>
      </c>
    </row>
    <row r="81" spans="1:17">
      <c r="A81" s="3" t="s">
        <v>100</v>
      </c>
      <c r="B81" s="3">
        <v>500</v>
      </c>
      <c r="C81" s="3">
        <v>505</v>
      </c>
      <c r="D81" s="3">
        <f t="shared" si="1"/>
        <v>502.5</v>
      </c>
      <c r="E81" s="3">
        <v>0.32900000000000001</v>
      </c>
      <c r="F81" s="3">
        <v>1.0620000000000001</v>
      </c>
      <c r="G81" s="3" t="s">
        <v>73</v>
      </c>
      <c r="H81" s="3">
        <v>15.7873049466477</v>
      </c>
      <c r="I81" s="3">
        <v>2.5110452144851099</v>
      </c>
      <c r="J81" s="3">
        <v>-8.3406828081086903E-2</v>
      </c>
      <c r="K81" s="3">
        <v>0.96801331991754302</v>
      </c>
      <c r="L81" s="3"/>
      <c r="M81">
        <v>425</v>
      </c>
      <c r="N81" s="9">
        <v>20.895</v>
      </c>
      <c r="O81">
        <v>425</v>
      </c>
      <c r="P81">
        <v>39.880000000000003</v>
      </c>
      <c r="Q81">
        <v>20092.77</v>
      </c>
    </row>
    <row r="82" spans="1:17">
      <c r="A82" s="3" t="s">
        <v>101</v>
      </c>
      <c r="B82" s="3">
        <v>506</v>
      </c>
      <c r="C82" s="3">
        <v>510</v>
      </c>
      <c r="D82" s="3">
        <f t="shared" si="1"/>
        <v>508</v>
      </c>
      <c r="E82" s="3">
        <v>0.34599999999999997</v>
      </c>
      <c r="F82" s="3">
        <v>1.0720000000000001</v>
      </c>
      <c r="G82" s="3" t="s">
        <v>73</v>
      </c>
      <c r="H82" s="3">
        <v>16.170154255624301</v>
      </c>
      <c r="I82" s="3">
        <v>2.4838100206621498</v>
      </c>
      <c r="J82" s="3">
        <v>-9.7686114968775203E-2</v>
      </c>
      <c r="K82" s="3">
        <v>0.98945663057285504</v>
      </c>
      <c r="L82" s="3"/>
      <c r="M82">
        <v>430</v>
      </c>
      <c r="N82" s="10">
        <v>20.696000000000002</v>
      </c>
      <c r="O82">
        <v>430</v>
      </c>
      <c r="P82">
        <v>40.9</v>
      </c>
      <c r="Q82">
        <v>18836.93</v>
      </c>
    </row>
    <row r="83" spans="1:17">
      <c r="A83" s="3" t="s">
        <v>102</v>
      </c>
      <c r="B83" s="3">
        <v>510</v>
      </c>
      <c r="C83" s="3">
        <v>515</v>
      </c>
      <c r="D83" s="3">
        <f t="shared" si="1"/>
        <v>512.5</v>
      </c>
      <c r="E83" s="3">
        <v>0.33900000000000002</v>
      </c>
      <c r="F83" s="3">
        <v>1.071</v>
      </c>
      <c r="G83" s="3" t="s">
        <v>73</v>
      </c>
      <c r="H83" s="3">
        <v>17.1923462826099</v>
      </c>
      <c r="I83" s="3">
        <v>2.3742807873205898</v>
      </c>
      <c r="J83" s="3">
        <v>-6.5301652039913199E-2</v>
      </c>
      <c r="K83" s="3">
        <v>1.0109459311101401</v>
      </c>
      <c r="L83" s="3"/>
      <c r="M83">
        <v>435</v>
      </c>
      <c r="N83" s="9">
        <v>20.896999999999998</v>
      </c>
      <c r="O83">
        <v>435</v>
      </c>
      <c r="P83">
        <v>38.53</v>
      </c>
      <c r="Q83">
        <v>18038.22</v>
      </c>
    </row>
    <row r="84" spans="1:17">
      <c r="A84" s="3" t="s">
        <v>103</v>
      </c>
      <c r="B84" s="3">
        <v>515</v>
      </c>
      <c r="C84" s="3">
        <v>520</v>
      </c>
      <c r="D84" s="3">
        <f t="shared" si="1"/>
        <v>517.5</v>
      </c>
      <c r="E84" s="3">
        <v>0.37</v>
      </c>
      <c r="F84" s="3">
        <v>1.0609999999999999</v>
      </c>
      <c r="G84" s="3" t="s">
        <v>73</v>
      </c>
      <c r="H84" s="3">
        <v>17.738173607338101</v>
      </c>
      <c r="I84" s="3">
        <v>2.1797200417793201</v>
      </c>
      <c r="J84" s="3">
        <v>-6.45984235375405E-2</v>
      </c>
      <c r="K84" s="3">
        <v>1.01324827264836</v>
      </c>
      <c r="L84" s="3"/>
      <c r="M84">
        <v>440</v>
      </c>
      <c r="N84" s="10">
        <v>20.501999999999999</v>
      </c>
      <c r="O84">
        <v>440</v>
      </c>
      <c r="P84">
        <v>38.590000000000003</v>
      </c>
      <c r="Q84">
        <v>18054.04</v>
      </c>
    </row>
    <row r="85" spans="1:17">
      <c r="A85" s="3" t="s">
        <v>104</v>
      </c>
      <c r="B85" s="3">
        <v>520</v>
      </c>
      <c r="C85" s="3">
        <v>523</v>
      </c>
      <c r="D85" s="3">
        <f t="shared" si="1"/>
        <v>521.5</v>
      </c>
      <c r="E85" s="3">
        <v>0.31</v>
      </c>
      <c r="F85" s="3">
        <v>1.044</v>
      </c>
      <c r="G85" s="3" t="s">
        <v>73</v>
      </c>
      <c r="H85" s="3">
        <v>18.005834644554302</v>
      </c>
      <c r="I85" s="3">
        <v>2.3476550934126599</v>
      </c>
      <c r="J85" s="3">
        <v>-0.100167370576148</v>
      </c>
      <c r="K85" s="3">
        <v>1.0013730939027501</v>
      </c>
      <c r="L85" s="3"/>
      <c r="M85">
        <v>445</v>
      </c>
      <c r="N85" s="9">
        <v>20.433</v>
      </c>
      <c r="O85">
        <v>445</v>
      </c>
      <c r="P85">
        <v>38.82</v>
      </c>
      <c r="Q85">
        <v>15332.43</v>
      </c>
    </row>
    <row r="86" spans="1:17">
      <c r="A86" s="3" t="s">
        <v>105</v>
      </c>
      <c r="B86" s="3">
        <v>523</v>
      </c>
      <c r="C86" s="3">
        <v>526</v>
      </c>
      <c r="D86" s="3">
        <f t="shared" si="1"/>
        <v>524.5</v>
      </c>
      <c r="E86" s="3">
        <v>0.312</v>
      </c>
      <c r="F86" s="3">
        <v>1.0649999999999999</v>
      </c>
      <c r="G86" s="3" t="s">
        <v>73</v>
      </c>
      <c r="H86" s="3">
        <v>17.737308946827099</v>
      </c>
      <c r="I86" s="3">
        <v>2.2432712393631502</v>
      </c>
      <c r="J86" s="3">
        <v>-8.5947968979909306E-2</v>
      </c>
      <c r="K86" s="3">
        <v>1.00707306724993</v>
      </c>
      <c r="L86" s="3"/>
      <c r="M86">
        <v>450</v>
      </c>
      <c r="N86" s="10">
        <v>21.225999999999999</v>
      </c>
      <c r="O86">
        <v>450</v>
      </c>
      <c r="P86">
        <v>38.42</v>
      </c>
      <c r="Q86">
        <v>17782.740000000002</v>
      </c>
    </row>
    <row r="87" spans="1:17">
      <c r="A87" s="3" t="s">
        <v>106</v>
      </c>
      <c r="B87" s="3">
        <v>526</v>
      </c>
      <c r="C87" s="3">
        <v>530</v>
      </c>
      <c r="D87" s="3">
        <f t="shared" si="1"/>
        <v>528</v>
      </c>
      <c r="E87" s="3">
        <v>0.30599999999999999</v>
      </c>
      <c r="F87" s="3">
        <v>1.0649999999999999</v>
      </c>
      <c r="G87" s="3" t="s">
        <v>73</v>
      </c>
      <c r="H87" s="3">
        <v>15.9897915272524</v>
      </c>
      <c r="I87" s="3">
        <v>2.5896273449233802</v>
      </c>
      <c r="J87" s="3">
        <v>-7.2800819971340303E-2</v>
      </c>
      <c r="K87" s="3">
        <v>0.94931299593527896</v>
      </c>
      <c r="L87" s="3"/>
      <c r="M87">
        <v>455</v>
      </c>
      <c r="N87" s="9">
        <v>20.698</v>
      </c>
      <c r="O87">
        <v>455</v>
      </c>
      <c r="P87">
        <v>39.99</v>
      </c>
      <c r="Q87">
        <v>22710.32</v>
      </c>
    </row>
    <row r="88" spans="1:17">
      <c r="A88" s="3" t="s">
        <v>107</v>
      </c>
      <c r="B88" s="3">
        <v>530</v>
      </c>
      <c r="C88" s="3">
        <v>532</v>
      </c>
      <c r="D88" s="3">
        <f t="shared" si="1"/>
        <v>531</v>
      </c>
      <c r="E88" s="3">
        <v>0.34699999999999998</v>
      </c>
      <c r="F88" s="3">
        <v>1.0349999999999999</v>
      </c>
      <c r="G88" s="3" t="s">
        <v>73</v>
      </c>
      <c r="H88" s="3">
        <v>14.9604081741288</v>
      </c>
      <c r="I88" s="3">
        <v>2.5989954575116201</v>
      </c>
      <c r="J88" s="3">
        <v>-2.8180078584220499E-2</v>
      </c>
      <c r="K88" s="3">
        <v>0.949615660028586</v>
      </c>
      <c r="L88" s="3"/>
      <c r="M88">
        <v>460</v>
      </c>
      <c r="N88" s="10">
        <v>20.960999999999999</v>
      </c>
      <c r="O88">
        <v>460</v>
      </c>
      <c r="P88">
        <v>40.69</v>
      </c>
      <c r="Q88">
        <v>23849.09</v>
      </c>
    </row>
    <row r="89" spans="1:17">
      <c r="A89" s="3" t="s">
        <v>108</v>
      </c>
      <c r="B89" s="3">
        <v>532</v>
      </c>
      <c r="C89" s="3">
        <v>538</v>
      </c>
      <c r="D89" s="3">
        <f t="shared" si="1"/>
        <v>535</v>
      </c>
      <c r="E89" s="3">
        <v>0.33100000000000002</v>
      </c>
      <c r="F89" s="3">
        <v>1.083</v>
      </c>
      <c r="G89" s="3" t="s">
        <v>73</v>
      </c>
      <c r="H89" s="3">
        <v>14.2188119602844</v>
      </c>
      <c r="I89" s="3">
        <v>2.6245552476482401</v>
      </c>
      <c r="J89" s="3">
        <v>-3.99844321867205E-2</v>
      </c>
      <c r="K89" s="3">
        <v>0.92444090160524495</v>
      </c>
      <c r="L89" s="3"/>
      <c r="M89">
        <v>465</v>
      </c>
      <c r="N89" s="9">
        <v>20.033999999999999</v>
      </c>
      <c r="O89">
        <v>465</v>
      </c>
      <c r="P89">
        <v>40</v>
      </c>
      <c r="Q89">
        <v>25410.78</v>
      </c>
    </row>
    <row r="90" spans="1:17">
      <c r="A90" s="3" t="s">
        <v>109</v>
      </c>
      <c r="B90" s="3">
        <v>538</v>
      </c>
      <c r="C90" s="3">
        <v>540</v>
      </c>
      <c r="D90" s="3">
        <f t="shared" si="1"/>
        <v>539</v>
      </c>
      <c r="E90" s="3">
        <v>0.32100000000000001</v>
      </c>
      <c r="F90" s="3">
        <v>1.052</v>
      </c>
      <c r="G90" s="3" t="s">
        <v>73</v>
      </c>
      <c r="H90" s="3">
        <v>16.014158324145399</v>
      </c>
      <c r="I90" s="3">
        <v>2.5347793817832098</v>
      </c>
      <c r="J90" s="3">
        <v>-7.2126065461301403E-2</v>
      </c>
      <c r="K90" s="3">
        <v>0.98138169538211395</v>
      </c>
      <c r="L90" s="3"/>
      <c r="M90">
        <v>470</v>
      </c>
      <c r="N90" s="10">
        <v>20.431000000000001</v>
      </c>
      <c r="O90">
        <v>470</v>
      </c>
      <c r="P90">
        <v>41.03</v>
      </c>
      <c r="Q90">
        <v>23967.22</v>
      </c>
    </row>
    <row r="91" spans="1:17">
      <c r="A91" s="3" t="s">
        <v>110</v>
      </c>
      <c r="B91" s="3">
        <v>540</v>
      </c>
      <c r="C91" s="3">
        <v>542</v>
      </c>
      <c r="D91" s="3">
        <f t="shared" si="1"/>
        <v>541</v>
      </c>
      <c r="E91" s="3">
        <v>0.34899999999999998</v>
      </c>
      <c r="F91" s="3">
        <v>1.0649999999999999</v>
      </c>
      <c r="G91" s="3" t="s">
        <v>73</v>
      </c>
      <c r="H91" s="3">
        <v>16.432034598401401</v>
      </c>
      <c r="I91" s="3">
        <v>2.4092283792289901</v>
      </c>
      <c r="J91" s="3">
        <v>-7.7743741651681006E-2</v>
      </c>
      <c r="K91" s="3">
        <v>0.97396926964337005</v>
      </c>
      <c r="L91" s="3"/>
      <c r="M91">
        <v>475</v>
      </c>
      <c r="N91" s="9">
        <v>21.026</v>
      </c>
      <c r="O91">
        <v>475</v>
      </c>
      <c r="P91">
        <v>40.229999999999997</v>
      </c>
      <c r="Q91">
        <v>23376.25</v>
      </c>
    </row>
    <row r="92" spans="1:17">
      <c r="A92" s="3" t="s">
        <v>111</v>
      </c>
      <c r="B92" s="3">
        <v>542</v>
      </c>
      <c r="C92" s="3">
        <v>544</v>
      </c>
      <c r="D92" s="3">
        <f t="shared" si="1"/>
        <v>543</v>
      </c>
      <c r="E92" s="3">
        <v>0.33</v>
      </c>
      <c r="F92" s="3">
        <v>1.0049999999999999</v>
      </c>
      <c r="G92" s="3" t="s">
        <v>73</v>
      </c>
      <c r="H92" s="3">
        <v>16.868772122647901</v>
      </c>
      <c r="I92" s="3">
        <v>2.5404704417778001</v>
      </c>
      <c r="J92" s="3">
        <v>-7.5462630396193497E-2</v>
      </c>
      <c r="K92" s="3">
        <v>0.98262696318991205</v>
      </c>
      <c r="L92" s="3"/>
      <c r="M92">
        <v>480</v>
      </c>
      <c r="N92" s="10">
        <v>21.097000000000001</v>
      </c>
      <c r="O92">
        <v>480</v>
      </c>
      <c r="P92">
        <v>39.76</v>
      </c>
      <c r="Q92">
        <v>27021.06</v>
      </c>
    </row>
    <row r="93" spans="1:17">
      <c r="A93" s="3" t="s">
        <v>112</v>
      </c>
      <c r="B93" s="3">
        <v>544</v>
      </c>
      <c r="C93" s="3">
        <v>546</v>
      </c>
      <c r="D93" s="3">
        <f t="shared" si="1"/>
        <v>545</v>
      </c>
      <c r="E93" s="3">
        <v>0.39200000000000002</v>
      </c>
      <c r="F93" s="3">
        <v>1.0920000000000001</v>
      </c>
      <c r="G93" s="3" t="s">
        <v>73</v>
      </c>
      <c r="H93" s="3">
        <v>17.230518222040399</v>
      </c>
      <c r="I93" s="3">
        <v>2.37084947020533</v>
      </c>
      <c r="J93" s="3">
        <v>-0.10049085824607699</v>
      </c>
      <c r="K93" s="3">
        <v>0.99932100315476502</v>
      </c>
      <c r="L93" s="3"/>
      <c r="M93">
        <v>485</v>
      </c>
      <c r="N93" s="9">
        <v>18.646999999999998</v>
      </c>
      <c r="O93">
        <v>485</v>
      </c>
      <c r="P93">
        <v>38.79</v>
      </c>
      <c r="Q93">
        <v>26731.42</v>
      </c>
    </row>
    <row r="94" spans="1:17">
      <c r="A94" s="3" t="s">
        <v>113</v>
      </c>
      <c r="B94" s="3">
        <v>546</v>
      </c>
      <c r="C94" s="3">
        <v>548</v>
      </c>
      <c r="D94" s="3">
        <f t="shared" si="1"/>
        <v>547</v>
      </c>
      <c r="E94" s="3">
        <v>0.36499999999999999</v>
      </c>
      <c r="F94" s="3">
        <v>1.008</v>
      </c>
      <c r="G94" s="3" t="s">
        <v>73</v>
      </c>
      <c r="H94" s="3">
        <v>15.8309096376122</v>
      </c>
      <c r="I94" s="3">
        <v>2.4181312667542301</v>
      </c>
      <c r="J94" s="3">
        <v>-9.5426296537290706E-2</v>
      </c>
      <c r="K94" s="3">
        <v>0.97874669224789601</v>
      </c>
      <c r="L94" s="3"/>
      <c r="M94">
        <v>490</v>
      </c>
      <c r="N94" s="10">
        <v>18.25</v>
      </c>
      <c r="O94">
        <v>490</v>
      </c>
      <c r="P94">
        <v>37.369999999999997</v>
      </c>
      <c r="Q94">
        <v>26050.55</v>
      </c>
    </row>
    <row r="95" spans="1:17">
      <c r="A95" s="3" t="s">
        <v>114</v>
      </c>
      <c r="B95" s="3">
        <v>548</v>
      </c>
      <c r="C95" s="3">
        <v>550</v>
      </c>
      <c r="D95" s="3">
        <f t="shared" si="1"/>
        <v>549</v>
      </c>
      <c r="E95" s="3">
        <v>0.32500000000000001</v>
      </c>
      <c r="F95" s="3">
        <v>1.0780000000000001</v>
      </c>
      <c r="G95" s="3" t="s">
        <v>73</v>
      </c>
      <c r="H95" s="3">
        <v>15.981776093023599</v>
      </c>
      <c r="I95" s="3">
        <v>2.30910176969638</v>
      </c>
      <c r="J95" s="3">
        <v>-9.9275099378358503E-2</v>
      </c>
      <c r="K95" s="3">
        <v>0.98510803538152103</v>
      </c>
      <c r="L95" s="3"/>
      <c r="M95">
        <v>495</v>
      </c>
      <c r="N95" s="9">
        <v>17.13</v>
      </c>
      <c r="O95">
        <v>495</v>
      </c>
      <c r="P95">
        <v>37.85</v>
      </c>
      <c r="Q95">
        <v>24616.32</v>
      </c>
    </row>
    <row r="96" spans="1:17">
      <c r="A96" s="3" t="s">
        <v>115</v>
      </c>
      <c r="B96" s="3">
        <v>550</v>
      </c>
      <c r="C96" s="3">
        <v>555</v>
      </c>
      <c r="D96" s="3">
        <f t="shared" si="1"/>
        <v>552.5</v>
      </c>
      <c r="E96" s="3">
        <v>0.33800000000000002</v>
      </c>
      <c r="F96" s="3">
        <v>1.0109999999999999</v>
      </c>
      <c r="G96" s="3" t="s">
        <v>73</v>
      </c>
      <c r="H96" s="3">
        <v>16.766632582301899</v>
      </c>
      <c r="I96" s="3">
        <v>2.44717425268438</v>
      </c>
      <c r="J96" s="3">
        <v>-9.8218768787062899E-2</v>
      </c>
      <c r="K96" s="3">
        <v>0.98386205095774704</v>
      </c>
      <c r="L96" s="3"/>
      <c r="M96">
        <v>500</v>
      </c>
      <c r="N96" s="10">
        <v>17.594000000000001</v>
      </c>
      <c r="O96">
        <v>500</v>
      </c>
      <c r="P96">
        <v>38.67</v>
      </c>
      <c r="Q96">
        <v>23884.240000000002</v>
      </c>
    </row>
    <row r="97" spans="1:17">
      <c r="A97" s="3" t="s">
        <v>116</v>
      </c>
      <c r="B97" s="3">
        <v>555</v>
      </c>
      <c r="C97" s="3">
        <v>560</v>
      </c>
      <c r="D97" s="3">
        <f t="shared" si="1"/>
        <v>557.5</v>
      </c>
      <c r="E97" s="3">
        <v>0.38500000000000001</v>
      </c>
      <c r="F97" s="3">
        <v>1.056</v>
      </c>
      <c r="G97" s="3" t="s">
        <v>73</v>
      </c>
      <c r="H97" s="3">
        <v>18.359440745479201</v>
      </c>
      <c r="I97" s="3">
        <v>2.4065783153543201</v>
      </c>
      <c r="J97" s="3">
        <v>-0.103089360783589</v>
      </c>
      <c r="K97" s="3">
        <v>1.0088133020936201</v>
      </c>
      <c r="L97" s="3"/>
      <c r="M97">
        <v>505</v>
      </c>
      <c r="N97" s="9">
        <v>18.715</v>
      </c>
      <c r="O97">
        <v>505</v>
      </c>
      <c r="P97">
        <v>38.01</v>
      </c>
      <c r="Q97">
        <v>22844.78</v>
      </c>
    </row>
    <row r="98" spans="1:17">
      <c r="A98" s="3" t="s">
        <v>117</v>
      </c>
      <c r="B98" s="3">
        <v>560</v>
      </c>
      <c r="C98" s="3">
        <v>562</v>
      </c>
      <c r="D98" s="3">
        <f t="shared" si="1"/>
        <v>561</v>
      </c>
      <c r="E98" s="3">
        <v>0.35199999999999998</v>
      </c>
      <c r="F98" s="3">
        <v>1.036</v>
      </c>
      <c r="G98" s="3" t="s">
        <v>73</v>
      </c>
      <c r="H98" s="3">
        <v>18.159044351525399</v>
      </c>
      <c r="I98" s="3">
        <v>2.33590005888427</v>
      </c>
      <c r="J98" s="3">
        <v>-0.111397784509446</v>
      </c>
      <c r="K98" s="3">
        <v>1.0055530900201299</v>
      </c>
      <c r="L98" s="3"/>
      <c r="M98">
        <v>510</v>
      </c>
      <c r="N98" s="10">
        <v>20.765999999999998</v>
      </c>
      <c r="O98">
        <v>510</v>
      </c>
      <c r="P98">
        <v>37.51</v>
      </c>
      <c r="Q98">
        <v>21718.080000000002</v>
      </c>
    </row>
    <row r="99" spans="1:17">
      <c r="A99" s="3" t="s">
        <v>118</v>
      </c>
      <c r="B99" s="3">
        <v>562</v>
      </c>
      <c r="C99" s="3">
        <v>564</v>
      </c>
      <c r="D99" s="3">
        <f t="shared" si="1"/>
        <v>563</v>
      </c>
      <c r="E99" s="3">
        <v>0.316</v>
      </c>
      <c r="F99" s="3">
        <v>1.046</v>
      </c>
      <c r="G99" s="3" t="s">
        <v>73</v>
      </c>
      <c r="H99" s="3">
        <v>16.9119617808641</v>
      </c>
      <c r="I99" s="3">
        <v>2.3031186733618498</v>
      </c>
      <c r="J99" s="3">
        <v>-9.2824546803505506E-2</v>
      </c>
      <c r="K99" s="3">
        <v>0.98937296789280305</v>
      </c>
      <c r="L99" s="3"/>
      <c r="M99">
        <v>515</v>
      </c>
      <c r="N99" s="9">
        <v>21.754999999999999</v>
      </c>
      <c r="O99">
        <v>515</v>
      </c>
      <c r="P99">
        <v>37.01</v>
      </c>
      <c r="Q99">
        <v>21451.1</v>
      </c>
    </row>
    <row r="100" spans="1:17">
      <c r="A100" s="3" t="s">
        <v>119</v>
      </c>
      <c r="B100" s="3">
        <v>564</v>
      </c>
      <c r="C100" s="3">
        <v>566</v>
      </c>
      <c r="D100" s="3">
        <f t="shared" si="1"/>
        <v>565</v>
      </c>
      <c r="E100" s="3">
        <v>0.30099999999999999</v>
      </c>
      <c r="F100" s="3">
        <v>1.0720000000000001</v>
      </c>
      <c r="G100" s="3" t="s">
        <v>73</v>
      </c>
      <c r="H100" s="3">
        <v>16.162098274513301</v>
      </c>
      <c r="I100" s="3">
        <v>2.2928794258629499</v>
      </c>
      <c r="J100" s="3">
        <v>-9.6009371054779705E-2</v>
      </c>
      <c r="K100" s="3">
        <v>0.98912515191186701</v>
      </c>
      <c r="L100" s="3"/>
      <c r="M100">
        <v>520</v>
      </c>
      <c r="N100" s="10">
        <v>18.777999999999999</v>
      </c>
      <c r="O100">
        <v>520</v>
      </c>
      <c r="P100">
        <v>37.200000000000003</v>
      </c>
      <c r="Q100">
        <v>24543.65</v>
      </c>
    </row>
    <row r="101" spans="1:17">
      <c r="A101" s="3" t="s">
        <v>120</v>
      </c>
      <c r="B101" s="3">
        <v>566</v>
      </c>
      <c r="C101" s="3">
        <v>568</v>
      </c>
      <c r="D101" s="3">
        <f t="shared" si="1"/>
        <v>567</v>
      </c>
      <c r="E101" s="3">
        <v>0.34200000000000003</v>
      </c>
      <c r="F101" s="3">
        <v>1.022</v>
      </c>
      <c r="G101" s="3" t="s">
        <v>73</v>
      </c>
      <c r="H101" s="3">
        <v>17.118300684150199</v>
      </c>
      <c r="I101" s="3">
        <v>2.4385817420894802</v>
      </c>
      <c r="J101" s="3">
        <v>-8.1267138900740304E-2</v>
      </c>
      <c r="K101" s="3">
        <v>0.99466612095019402</v>
      </c>
      <c r="L101" s="3"/>
      <c r="M101">
        <v>525</v>
      </c>
      <c r="N101" s="9">
        <v>15.146000000000001</v>
      </c>
      <c r="O101">
        <v>525</v>
      </c>
      <c r="P101">
        <v>38.479999999999997</v>
      </c>
      <c r="Q101">
        <v>22495.52</v>
      </c>
    </row>
    <row r="102" spans="1:17">
      <c r="A102" s="3" t="s">
        <v>121</v>
      </c>
      <c r="B102" s="3">
        <v>568</v>
      </c>
      <c r="C102" s="3">
        <v>570</v>
      </c>
      <c r="D102" s="3">
        <f t="shared" si="1"/>
        <v>569</v>
      </c>
      <c r="E102" s="3">
        <v>0.32500000000000001</v>
      </c>
      <c r="F102" s="3">
        <v>1.028</v>
      </c>
      <c r="G102" s="3" t="s">
        <v>73</v>
      </c>
      <c r="H102" s="3">
        <v>16.778586086804498</v>
      </c>
      <c r="I102" s="3">
        <v>2.4870120469668699</v>
      </c>
      <c r="J102" s="3">
        <v>-7.4722055593246295E-2</v>
      </c>
      <c r="K102" s="3">
        <v>0.996448481250095</v>
      </c>
      <c r="L102" s="3"/>
      <c r="M102">
        <v>530</v>
      </c>
      <c r="N102" s="10">
        <v>17.125</v>
      </c>
      <c r="O102">
        <v>530</v>
      </c>
      <c r="P102">
        <v>37.46</v>
      </c>
      <c r="Q102">
        <v>19071.95</v>
      </c>
    </row>
    <row r="103" spans="1:17">
      <c r="A103" s="3" t="s">
        <v>122</v>
      </c>
      <c r="B103" s="3">
        <v>570</v>
      </c>
      <c r="C103" s="3">
        <v>575</v>
      </c>
      <c r="D103" s="3">
        <f t="shared" si="1"/>
        <v>572.5</v>
      </c>
      <c r="E103" s="3">
        <v>0.35499999999999998</v>
      </c>
      <c r="F103" s="3">
        <v>1.07</v>
      </c>
      <c r="G103" s="3" t="s">
        <v>73</v>
      </c>
      <c r="H103" s="3">
        <v>16.537470431516802</v>
      </c>
      <c r="I103" s="3">
        <v>2.5073601431375701</v>
      </c>
      <c r="J103" s="3">
        <v>-7.05000388468425E-2</v>
      </c>
      <c r="K103" s="3">
        <v>1.00441871610474</v>
      </c>
      <c r="L103" s="3"/>
      <c r="M103">
        <v>535</v>
      </c>
      <c r="N103" s="9">
        <v>17.058</v>
      </c>
      <c r="O103">
        <v>535</v>
      </c>
      <c r="P103">
        <v>37.369999999999997</v>
      </c>
      <c r="Q103">
        <v>21830.28</v>
      </c>
    </row>
    <row r="104" spans="1:17">
      <c r="A104" s="3" t="s">
        <v>123</v>
      </c>
      <c r="B104" s="3">
        <v>575</v>
      </c>
      <c r="C104" s="3">
        <v>580</v>
      </c>
      <c r="D104" s="3">
        <f t="shared" si="1"/>
        <v>577.5</v>
      </c>
      <c r="E104" s="3">
        <v>0.375</v>
      </c>
      <c r="F104" s="3">
        <v>1.048</v>
      </c>
      <c r="G104" s="3" t="s">
        <v>73</v>
      </c>
      <c r="H104" s="3">
        <v>16.7912604979498</v>
      </c>
      <c r="I104" s="3">
        <v>2.3204521903403901</v>
      </c>
      <c r="J104" s="3">
        <v>-7.9177771504777006E-2</v>
      </c>
      <c r="K104" s="3">
        <v>1.0078063496935401</v>
      </c>
      <c r="L104" s="3"/>
      <c r="M104">
        <v>540</v>
      </c>
      <c r="N104" s="10">
        <v>17.061</v>
      </c>
      <c r="O104">
        <v>540</v>
      </c>
      <c r="P104">
        <v>37.07</v>
      </c>
      <c r="Q104">
        <v>17441.89</v>
      </c>
    </row>
    <row r="105" spans="1:17">
      <c r="A105" s="3" t="s">
        <v>124</v>
      </c>
      <c r="B105" s="3">
        <v>580</v>
      </c>
      <c r="C105" s="3">
        <v>585</v>
      </c>
      <c r="D105" s="3">
        <f t="shared" si="1"/>
        <v>582.5</v>
      </c>
      <c r="E105" s="3">
        <v>0.32700000000000001</v>
      </c>
      <c r="F105" s="3">
        <v>1.01</v>
      </c>
      <c r="G105" s="3" t="s">
        <v>73</v>
      </c>
      <c r="H105" s="3">
        <v>16.941465070359701</v>
      </c>
      <c r="I105" s="3">
        <v>2.4242855473403702</v>
      </c>
      <c r="J105" s="3">
        <v>-6.0564094748027701E-2</v>
      </c>
      <c r="K105" s="3">
        <v>1.0129129401172501</v>
      </c>
      <c r="L105" s="3"/>
      <c r="M105">
        <v>545</v>
      </c>
      <c r="N105" s="9">
        <v>16.859000000000002</v>
      </c>
      <c r="O105">
        <v>545</v>
      </c>
      <c r="P105">
        <v>37.03</v>
      </c>
      <c r="Q105">
        <v>17740.060000000001</v>
      </c>
    </row>
    <row r="106" spans="1:17">
      <c r="A106" s="3" t="s">
        <v>125</v>
      </c>
      <c r="B106" s="3">
        <v>585</v>
      </c>
      <c r="C106" s="3">
        <v>590</v>
      </c>
      <c r="D106" s="3">
        <f t="shared" si="1"/>
        <v>587.5</v>
      </c>
      <c r="E106" s="3">
        <v>0.32200000000000001</v>
      </c>
      <c r="F106" s="3">
        <v>1.0580000000000001</v>
      </c>
      <c r="G106" s="3" t="s">
        <v>73</v>
      </c>
      <c r="H106" s="3">
        <v>17.2830128167145</v>
      </c>
      <c r="I106" s="3">
        <v>2.3094252826072399</v>
      </c>
      <c r="J106" s="3">
        <v>-7.9731376423828201E-2</v>
      </c>
      <c r="K106" s="3">
        <v>0.99891502785893005</v>
      </c>
      <c r="L106" s="3"/>
      <c r="M106">
        <v>550</v>
      </c>
      <c r="N106" s="10">
        <v>13.69</v>
      </c>
      <c r="O106">
        <v>550</v>
      </c>
      <c r="P106">
        <v>35.35</v>
      </c>
      <c r="Q106">
        <v>20413.759999999998</v>
      </c>
    </row>
    <row r="107" spans="1:17">
      <c r="A107" s="3" t="s">
        <v>126</v>
      </c>
      <c r="B107" s="3">
        <v>600</v>
      </c>
      <c r="C107" s="3">
        <v>610</v>
      </c>
      <c r="D107" s="3">
        <f t="shared" si="1"/>
        <v>605</v>
      </c>
      <c r="E107" s="3">
        <v>0.39200000000000002</v>
      </c>
      <c r="F107" s="3">
        <v>1.0509999999999999</v>
      </c>
      <c r="G107" s="3" t="s">
        <v>73</v>
      </c>
      <c r="H107" s="3">
        <v>17.281760182079701</v>
      </c>
      <c r="I107" s="3">
        <v>2.55294767879177</v>
      </c>
      <c r="J107" s="3">
        <v>-7.9234888448416294E-2</v>
      </c>
      <c r="K107" s="3">
        <v>0.98682777576121405</v>
      </c>
      <c r="L107" s="3"/>
      <c r="M107">
        <v>555</v>
      </c>
      <c r="N107" s="9">
        <v>17.256</v>
      </c>
      <c r="O107">
        <v>555</v>
      </c>
      <c r="P107">
        <v>35.42</v>
      </c>
      <c r="Q107">
        <v>18305.669999999998</v>
      </c>
    </row>
    <row r="108" spans="1:17">
      <c r="A108" s="3" t="s">
        <v>127</v>
      </c>
      <c r="B108" s="3">
        <v>610</v>
      </c>
      <c r="C108" s="3">
        <v>620</v>
      </c>
      <c r="D108" s="3">
        <f t="shared" si="1"/>
        <v>615</v>
      </c>
      <c r="E108" s="3">
        <v>0.35499999999999998</v>
      </c>
      <c r="F108" s="3">
        <v>1.0169999999999999</v>
      </c>
      <c r="G108" s="3" t="s">
        <v>73</v>
      </c>
      <c r="H108" s="3">
        <v>17.864975409262001</v>
      </c>
      <c r="I108" s="3">
        <v>2.3600132823978099</v>
      </c>
      <c r="J108" s="3">
        <v>-8.5508496230641898E-2</v>
      </c>
      <c r="K108" s="3">
        <v>1.01305761642814</v>
      </c>
      <c r="L108" s="3"/>
      <c r="M108">
        <v>560</v>
      </c>
      <c r="N108" s="10">
        <v>18.317</v>
      </c>
      <c r="O108">
        <v>560</v>
      </c>
      <c r="P108">
        <v>35.729999999999997</v>
      </c>
      <c r="Q108">
        <v>17233.09</v>
      </c>
    </row>
    <row r="109" spans="1:17">
      <c r="A109" s="3" t="s">
        <v>128</v>
      </c>
      <c r="B109" s="3">
        <v>620</v>
      </c>
      <c r="C109" s="3">
        <v>630</v>
      </c>
      <c r="D109" s="3">
        <f t="shared" si="1"/>
        <v>625</v>
      </c>
      <c r="E109" s="3">
        <v>0.311</v>
      </c>
      <c r="F109" s="3">
        <v>1.014</v>
      </c>
      <c r="G109" s="3" t="s">
        <v>73</v>
      </c>
      <c r="H109" s="3">
        <v>9.1624778973578795</v>
      </c>
      <c r="I109" s="3">
        <v>1.72899383565874</v>
      </c>
      <c r="J109" s="3">
        <v>-0.223679817223881</v>
      </c>
      <c r="K109" s="3">
        <v>1.07781885921554</v>
      </c>
      <c r="L109" s="3"/>
      <c r="M109">
        <v>565</v>
      </c>
      <c r="N109" s="9">
        <v>17.393999999999998</v>
      </c>
      <c r="O109">
        <v>565</v>
      </c>
      <c r="P109">
        <v>34.880000000000003</v>
      </c>
      <c r="Q109">
        <v>19674.62</v>
      </c>
    </row>
    <row r="110" spans="1:17">
      <c r="A110" s="3" t="s">
        <v>129</v>
      </c>
      <c r="B110" s="3">
        <v>630</v>
      </c>
      <c r="C110" s="3">
        <v>640</v>
      </c>
      <c r="D110" s="3">
        <f t="shared" si="1"/>
        <v>635</v>
      </c>
      <c r="E110" s="3">
        <v>0.32700000000000001</v>
      </c>
      <c r="F110" s="3">
        <v>1.014</v>
      </c>
      <c r="G110" s="3" t="s">
        <v>73</v>
      </c>
      <c r="H110" s="3">
        <v>16.682755289206298</v>
      </c>
      <c r="I110" s="3">
        <v>2.6648460423019902</v>
      </c>
      <c r="J110" s="3">
        <v>-5.00726658291629E-2</v>
      </c>
      <c r="K110" s="3">
        <v>0.97891507513473397</v>
      </c>
      <c r="L110" s="3"/>
      <c r="M110">
        <v>570</v>
      </c>
      <c r="N110" s="10">
        <v>18.911000000000001</v>
      </c>
      <c r="O110">
        <v>570</v>
      </c>
      <c r="P110">
        <v>37.46</v>
      </c>
      <c r="Q110">
        <v>18804.990000000002</v>
      </c>
    </row>
    <row r="111" spans="1:17">
      <c r="A111" s="3" t="s">
        <v>130</v>
      </c>
      <c r="B111" s="3">
        <v>640</v>
      </c>
      <c r="C111" s="3">
        <v>650</v>
      </c>
      <c r="D111" s="3">
        <f t="shared" si="1"/>
        <v>645</v>
      </c>
      <c r="E111" s="3">
        <v>0.36</v>
      </c>
      <c r="F111" s="3">
        <v>1.0309999999999999</v>
      </c>
      <c r="G111" s="3" t="s">
        <v>73</v>
      </c>
      <c r="H111" s="3">
        <v>17.688692455535399</v>
      </c>
      <c r="I111" s="3">
        <v>2.5014687814443701</v>
      </c>
      <c r="J111" s="3">
        <v>-6.5979772891253494E-2</v>
      </c>
      <c r="K111" s="3">
        <v>1.0082364264793999</v>
      </c>
      <c r="L111" s="3"/>
      <c r="M111">
        <v>575</v>
      </c>
      <c r="N111" s="9">
        <v>19.042999999999999</v>
      </c>
      <c r="O111">
        <v>575</v>
      </c>
      <c r="P111">
        <v>39.979999999999997</v>
      </c>
      <c r="Q111">
        <v>18802.91</v>
      </c>
    </row>
    <row r="112" spans="1:17">
      <c r="A112" s="3" t="s">
        <v>131</v>
      </c>
      <c r="B112" s="3">
        <v>650</v>
      </c>
      <c r="C112" s="3">
        <v>660</v>
      </c>
      <c r="D112" s="3">
        <f t="shared" si="1"/>
        <v>655</v>
      </c>
      <c r="E112" s="3">
        <v>0.313</v>
      </c>
      <c r="F112" s="3">
        <v>1.091</v>
      </c>
      <c r="G112" s="3" t="s">
        <v>73</v>
      </c>
      <c r="H112" s="3">
        <v>17.888834142239698</v>
      </c>
      <c r="I112" s="3">
        <v>2.4410123599096201</v>
      </c>
      <c r="J112" s="3">
        <v>-5.9446689776623499E-2</v>
      </c>
      <c r="K112" s="3">
        <v>1.0126402064686599</v>
      </c>
      <c r="L112" s="3"/>
      <c r="M112">
        <v>580</v>
      </c>
      <c r="N112" s="10">
        <v>17.654</v>
      </c>
      <c r="O112">
        <v>580</v>
      </c>
      <c r="P112">
        <v>36.520000000000003</v>
      </c>
      <c r="Q112">
        <v>16846.68</v>
      </c>
    </row>
    <row r="113" spans="1:17">
      <c r="A113" s="3" t="s">
        <v>132</v>
      </c>
      <c r="B113" s="3">
        <v>660</v>
      </c>
      <c r="C113" s="3">
        <v>670</v>
      </c>
      <c r="D113" s="3">
        <f t="shared" si="1"/>
        <v>665</v>
      </c>
      <c r="E113" s="3">
        <v>0.38400000000000001</v>
      </c>
      <c r="F113" s="3">
        <v>1.042</v>
      </c>
      <c r="G113" s="3" t="s">
        <v>73</v>
      </c>
      <c r="H113" s="3">
        <v>16.973751543151899</v>
      </c>
      <c r="I113" s="3">
        <v>2.5093620793118601</v>
      </c>
      <c r="J113" s="3">
        <v>-2.7468377612919599E-2</v>
      </c>
      <c r="K113" s="3">
        <v>0.98460270701633701</v>
      </c>
      <c r="L113" s="3"/>
      <c r="M113">
        <v>585</v>
      </c>
      <c r="N113" s="9">
        <v>17.664000000000001</v>
      </c>
      <c r="O113">
        <v>585</v>
      </c>
      <c r="P113">
        <v>39.630000000000003</v>
      </c>
      <c r="Q113">
        <v>18392.98</v>
      </c>
    </row>
    <row r="114" spans="1:17">
      <c r="A114" s="3" t="s">
        <v>133</v>
      </c>
      <c r="B114" s="3">
        <v>670</v>
      </c>
      <c r="C114" s="3">
        <v>680</v>
      </c>
      <c r="D114" s="3">
        <f t="shared" si="1"/>
        <v>675</v>
      </c>
      <c r="E114" s="3">
        <v>0.32800000000000001</v>
      </c>
      <c r="F114" s="3">
        <v>1.0329999999999999</v>
      </c>
      <c r="G114" s="3" t="s">
        <v>73</v>
      </c>
      <c r="H114" s="3">
        <v>22.807820739988401</v>
      </c>
      <c r="I114" s="3">
        <v>2.2009202103672401</v>
      </c>
      <c r="J114" s="3">
        <v>-9.0315338549040294E-2</v>
      </c>
      <c r="K114" s="3">
        <v>1.00674456443347</v>
      </c>
      <c r="L114" s="3"/>
      <c r="M114">
        <v>590</v>
      </c>
      <c r="N114" s="10">
        <v>16.736000000000001</v>
      </c>
      <c r="O114">
        <v>590</v>
      </c>
      <c r="P114">
        <v>41.9</v>
      </c>
      <c r="Q114">
        <v>10241.86</v>
      </c>
    </row>
    <row r="115" spans="1:17">
      <c r="A115" s="3" t="s">
        <v>134</v>
      </c>
      <c r="B115" s="3">
        <v>680</v>
      </c>
      <c r="C115" s="3">
        <v>690</v>
      </c>
      <c r="D115" s="3">
        <f t="shared" si="1"/>
        <v>685</v>
      </c>
      <c r="E115" s="3">
        <v>0.32800000000000001</v>
      </c>
      <c r="F115" s="3">
        <v>1.0529999999999999</v>
      </c>
      <c r="G115" s="3" t="s">
        <v>73</v>
      </c>
      <c r="H115" s="3">
        <v>25.335658313139898</v>
      </c>
      <c r="I115" s="3">
        <v>2.3063899480321202</v>
      </c>
      <c r="J115" s="3">
        <v>-0.122565207972297</v>
      </c>
      <c r="K115" s="3">
        <v>1.01529562160688</v>
      </c>
      <c r="L115" s="3"/>
      <c r="M115">
        <v>595</v>
      </c>
      <c r="N115" s="9">
        <v>15.94</v>
      </c>
      <c r="O115">
        <v>595</v>
      </c>
      <c r="P115">
        <v>37.090000000000003</v>
      </c>
      <c r="Q115">
        <v>17004.759999999998</v>
      </c>
    </row>
    <row r="116" spans="1:17">
      <c r="A116" s="3" t="s">
        <v>135</v>
      </c>
      <c r="B116" s="3">
        <v>690</v>
      </c>
      <c r="C116" s="3">
        <v>700</v>
      </c>
      <c r="D116" s="3">
        <f t="shared" si="1"/>
        <v>695</v>
      </c>
      <c r="E116" s="3">
        <v>0.316</v>
      </c>
      <c r="F116" s="3">
        <v>1.052</v>
      </c>
      <c r="G116" s="3" t="s">
        <v>73</v>
      </c>
      <c r="H116" s="3">
        <v>24.417958458319799</v>
      </c>
      <c r="I116" s="3">
        <v>2.28299476667571</v>
      </c>
      <c r="J116" s="3">
        <v>-8.7042518057297194E-2</v>
      </c>
      <c r="K116" s="3">
        <v>0.99721690115768002</v>
      </c>
      <c r="L116" s="3"/>
      <c r="M116">
        <v>600</v>
      </c>
      <c r="N116" s="10">
        <v>16.472000000000001</v>
      </c>
      <c r="O116">
        <v>600</v>
      </c>
      <c r="P116">
        <v>35.6</v>
      </c>
      <c r="Q116">
        <v>15974.43</v>
      </c>
    </row>
    <row r="117" spans="1:17">
      <c r="A117" s="3" t="s">
        <v>136</v>
      </c>
      <c r="B117" s="3">
        <v>700</v>
      </c>
      <c r="C117" s="3">
        <v>710</v>
      </c>
      <c r="D117" s="3">
        <f t="shared" si="1"/>
        <v>705</v>
      </c>
      <c r="E117" s="3">
        <v>0.33800000000000002</v>
      </c>
      <c r="F117" s="3">
        <v>1.081</v>
      </c>
      <c r="G117" s="3" t="s">
        <v>73</v>
      </c>
      <c r="H117" s="3">
        <v>32.397541964260199</v>
      </c>
      <c r="I117" s="3">
        <v>2.3380539385629699</v>
      </c>
      <c r="J117" s="3">
        <v>-0.14059612710243699</v>
      </c>
      <c r="K117" s="3">
        <v>1.0004598906815001</v>
      </c>
      <c r="L117" s="3"/>
      <c r="M117">
        <v>605</v>
      </c>
      <c r="N117" s="9">
        <v>16.600999999999999</v>
      </c>
      <c r="O117">
        <v>605</v>
      </c>
      <c r="P117">
        <v>36.07</v>
      </c>
      <c r="Q117">
        <v>13722.7</v>
      </c>
    </row>
    <row r="118" spans="1:17">
      <c r="A118" s="3" t="s">
        <v>137</v>
      </c>
      <c r="B118" s="3">
        <v>710</v>
      </c>
      <c r="C118" s="3">
        <v>720</v>
      </c>
      <c r="D118" s="3">
        <f t="shared" si="1"/>
        <v>715</v>
      </c>
      <c r="E118" s="3">
        <v>0.33</v>
      </c>
      <c r="F118" s="3">
        <v>1.0489999999999999</v>
      </c>
      <c r="G118" s="3" t="s">
        <v>73</v>
      </c>
      <c r="H118" s="3">
        <v>33.748075281126802</v>
      </c>
      <c r="I118" s="3">
        <v>2.3757972370120801</v>
      </c>
      <c r="J118" s="3">
        <v>-0.156394996832251</v>
      </c>
      <c r="K118" s="3">
        <v>1.0024245975427399</v>
      </c>
      <c r="L118" s="3"/>
      <c r="M118">
        <v>610</v>
      </c>
      <c r="N118" s="10">
        <v>17.795999999999999</v>
      </c>
      <c r="O118">
        <v>610</v>
      </c>
      <c r="P118">
        <v>37.29</v>
      </c>
      <c r="Q118">
        <v>13521.22</v>
      </c>
    </row>
    <row r="119" spans="1:17">
      <c r="A119" s="3" t="s">
        <v>138</v>
      </c>
      <c r="B119" s="3">
        <v>720</v>
      </c>
      <c r="C119" s="3">
        <v>730</v>
      </c>
      <c r="D119" s="3">
        <f t="shared" si="1"/>
        <v>725</v>
      </c>
      <c r="E119" s="3">
        <v>0.318</v>
      </c>
      <c r="F119" s="3">
        <v>1.0209999999999999</v>
      </c>
      <c r="G119" s="3" t="s">
        <v>73</v>
      </c>
      <c r="H119" s="3">
        <v>30.2376406915212</v>
      </c>
      <c r="I119" s="3">
        <v>2.43861109636117</v>
      </c>
      <c r="J119" s="3">
        <v>-0.12956893531272901</v>
      </c>
      <c r="K119" s="3">
        <v>0.976373081130675</v>
      </c>
      <c r="L119" s="3"/>
      <c r="M119">
        <v>615</v>
      </c>
      <c r="N119" s="9">
        <v>15.347</v>
      </c>
      <c r="O119">
        <v>615</v>
      </c>
      <c r="P119">
        <v>35.83</v>
      </c>
      <c r="Q119">
        <v>16886.79</v>
      </c>
    </row>
    <row r="120" spans="1:17">
      <c r="A120" s="3" t="s">
        <v>139</v>
      </c>
      <c r="B120" s="3">
        <v>730</v>
      </c>
      <c r="C120" s="3">
        <v>740</v>
      </c>
      <c r="D120" s="3">
        <f t="shared" si="1"/>
        <v>735</v>
      </c>
      <c r="E120" s="3">
        <v>0.30399999999999999</v>
      </c>
      <c r="F120" s="3">
        <v>1.0049999999999999</v>
      </c>
      <c r="G120" s="3" t="s">
        <v>73</v>
      </c>
      <c r="H120" s="3">
        <v>35.433616359316197</v>
      </c>
      <c r="I120" s="3">
        <v>2.3769950822562902</v>
      </c>
      <c r="J120" s="3">
        <v>-0.18022246941797901</v>
      </c>
      <c r="K120" s="3">
        <v>1.0105300319519701</v>
      </c>
      <c r="L120" s="3"/>
      <c r="M120">
        <v>620</v>
      </c>
      <c r="N120" s="10">
        <v>15.808</v>
      </c>
      <c r="O120">
        <v>620</v>
      </c>
      <c r="P120">
        <v>35.22</v>
      </c>
      <c r="Q120">
        <v>15472.58</v>
      </c>
    </row>
    <row r="121" spans="1:17">
      <c r="A121" s="3" t="s">
        <v>140</v>
      </c>
      <c r="B121" s="3">
        <v>740</v>
      </c>
      <c r="C121" s="3">
        <v>750</v>
      </c>
      <c r="D121" s="3">
        <f t="shared" si="1"/>
        <v>745</v>
      </c>
      <c r="E121" s="3">
        <v>0.35799999999999998</v>
      </c>
      <c r="F121" s="3">
        <v>1.091</v>
      </c>
      <c r="G121" s="3" t="s">
        <v>73</v>
      </c>
      <c r="H121" s="3">
        <v>30.708605030003799</v>
      </c>
      <c r="I121" s="3">
        <v>2.3344557664267498</v>
      </c>
      <c r="J121" s="3">
        <v>-0.15061561502681101</v>
      </c>
      <c r="K121" s="3">
        <v>1.0064963198553201</v>
      </c>
      <c r="L121" s="3"/>
      <c r="M121">
        <v>625</v>
      </c>
      <c r="N121" s="9">
        <v>16.338999999999999</v>
      </c>
      <c r="O121">
        <v>625</v>
      </c>
      <c r="P121">
        <v>33.82</v>
      </c>
      <c r="Q121">
        <v>18994.37</v>
      </c>
    </row>
    <row r="122" spans="1:17">
      <c r="A122" s="3" t="s">
        <v>141</v>
      </c>
      <c r="B122" s="3">
        <v>750</v>
      </c>
      <c r="C122" s="3">
        <v>760</v>
      </c>
      <c r="D122" s="3">
        <f t="shared" si="1"/>
        <v>755</v>
      </c>
      <c r="E122" s="3">
        <v>0.33300000000000002</v>
      </c>
      <c r="F122" s="3">
        <v>1.0189999999999999</v>
      </c>
      <c r="G122" s="3" t="s">
        <v>73</v>
      </c>
      <c r="H122" s="3">
        <v>29.677911541480299</v>
      </c>
      <c r="I122" s="3">
        <v>2.2708844428649799</v>
      </c>
      <c r="J122" s="3">
        <v>-0.14363123443190301</v>
      </c>
      <c r="K122" s="3">
        <v>1.0272394443551001</v>
      </c>
      <c r="L122" s="3"/>
      <c r="M122">
        <v>630</v>
      </c>
      <c r="N122" s="10">
        <v>17.196999999999999</v>
      </c>
      <c r="O122">
        <v>630</v>
      </c>
      <c r="P122">
        <v>34.43</v>
      </c>
      <c r="Q122">
        <v>20909.82</v>
      </c>
    </row>
    <row r="123" spans="1:17">
      <c r="A123" s="3" t="s">
        <v>142</v>
      </c>
      <c r="B123" s="3">
        <v>760</v>
      </c>
      <c r="C123" s="3">
        <v>770</v>
      </c>
      <c r="D123" s="3">
        <f t="shared" si="1"/>
        <v>765</v>
      </c>
      <c r="E123" s="3">
        <v>0.32700000000000001</v>
      </c>
      <c r="F123" s="3">
        <v>1.081</v>
      </c>
      <c r="G123" s="3" t="s">
        <v>73</v>
      </c>
      <c r="H123" s="3">
        <v>31.5422132331623</v>
      </c>
      <c r="I123" s="3">
        <v>2.3289030295820998</v>
      </c>
      <c r="J123" s="3">
        <v>-0.159818711335622</v>
      </c>
      <c r="K123" s="3">
        <v>1.0243068619270199</v>
      </c>
      <c r="L123" s="3"/>
      <c r="M123">
        <v>635</v>
      </c>
      <c r="N123" s="9">
        <v>18.646999999999998</v>
      </c>
      <c r="O123">
        <v>635</v>
      </c>
      <c r="P123">
        <v>35.33</v>
      </c>
      <c r="Q123">
        <v>17899.07</v>
      </c>
    </row>
    <row r="124" spans="1:17">
      <c r="A124" s="3" t="s">
        <v>143</v>
      </c>
      <c r="B124" s="3">
        <v>770</v>
      </c>
      <c r="C124" s="3">
        <v>780</v>
      </c>
      <c r="D124" s="3">
        <f t="shared" si="1"/>
        <v>775</v>
      </c>
      <c r="E124" s="3">
        <v>0.39800000000000002</v>
      </c>
      <c r="F124" s="3">
        <v>1</v>
      </c>
      <c r="G124" s="3" t="s">
        <v>73</v>
      </c>
      <c r="H124" s="3">
        <v>28.727406959219</v>
      </c>
      <c r="I124" s="3">
        <v>2.2764505655952298</v>
      </c>
      <c r="J124" s="3">
        <v>-0.129347352675207</v>
      </c>
      <c r="K124" s="3">
        <v>1.01550407455606</v>
      </c>
      <c r="L124" s="3"/>
      <c r="M124">
        <v>640</v>
      </c>
      <c r="N124" s="10">
        <v>20.167000000000002</v>
      </c>
      <c r="O124">
        <v>640</v>
      </c>
      <c r="P124">
        <v>34.94</v>
      </c>
      <c r="Q124">
        <v>17304.23</v>
      </c>
    </row>
    <row r="125" spans="1:17">
      <c r="A125" s="3" t="s">
        <v>144</v>
      </c>
      <c r="B125" s="3">
        <v>780</v>
      </c>
      <c r="C125" s="3">
        <v>790</v>
      </c>
      <c r="D125" s="3">
        <f t="shared" si="1"/>
        <v>785</v>
      </c>
      <c r="E125" s="3">
        <v>0.35499999999999998</v>
      </c>
      <c r="F125" s="3">
        <v>1.0589999999999999</v>
      </c>
      <c r="G125" s="3" t="s">
        <v>73</v>
      </c>
      <c r="H125" s="3">
        <v>30.775195262652399</v>
      </c>
      <c r="I125" s="3">
        <v>2.3775213768022398</v>
      </c>
      <c r="J125" s="3">
        <v>-0.16187165775917201</v>
      </c>
      <c r="K125" s="3">
        <v>1.0150986245562099</v>
      </c>
      <c r="L125" s="3"/>
      <c r="M125">
        <v>645</v>
      </c>
      <c r="N125" s="9">
        <v>18.379000000000001</v>
      </c>
      <c r="O125">
        <v>645</v>
      </c>
      <c r="P125">
        <v>36.25</v>
      </c>
      <c r="Q125">
        <v>18942.09</v>
      </c>
    </row>
    <row r="126" spans="1:17">
      <c r="A126" s="3" t="s">
        <v>145</v>
      </c>
      <c r="B126" s="3">
        <v>790</v>
      </c>
      <c r="C126" s="3">
        <v>800</v>
      </c>
      <c r="D126" s="3">
        <f t="shared" si="1"/>
        <v>795</v>
      </c>
      <c r="E126" s="3">
        <v>0.33500000000000002</v>
      </c>
      <c r="F126" s="3">
        <v>1.034</v>
      </c>
      <c r="G126" s="3" t="s">
        <v>73</v>
      </c>
      <c r="H126" s="3">
        <v>30.6476386858801</v>
      </c>
      <c r="I126" s="3">
        <v>2.2485173249505102</v>
      </c>
      <c r="J126" s="3">
        <v>-0.151806648278004</v>
      </c>
      <c r="K126" s="3">
        <v>1.03377807067828</v>
      </c>
      <c r="L126" s="3"/>
      <c r="M126">
        <v>650</v>
      </c>
      <c r="N126" s="10">
        <v>21.823</v>
      </c>
      <c r="O126">
        <v>650</v>
      </c>
      <c r="P126">
        <v>40.57</v>
      </c>
      <c r="Q126">
        <v>16009.04</v>
      </c>
    </row>
    <row r="127" spans="1:17">
      <c r="A127" s="3" t="s">
        <v>146</v>
      </c>
      <c r="B127" s="3">
        <v>800</v>
      </c>
      <c r="C127" s="3">
        <v>810</v>
      </c>
      <c r="D127" s="3">
        <f t="shared" si="1"/>
        <v>805</v>
      </c>
      <c r="E127" s="3">
        <v>0.307</v>
      </c>
      <c r="F127" s="3">
        <v>1.071</v>
      </c>
      <c r="G127" s="3" t="s">
        <v>73</v>
      </c>
      <c r="H127" s="3">
        <v>30.3132739695948</v>
      </c>
      <c r="I127" s="3">
        <v>2.2472858096547399</v>
      </c>
      <c r="J127" s="3">
        <v>-0.14513883514885201</v>
      </c>
      <c r="K127" s="3">
        <v>1.02372630579297</v>
      </c>
      <c r="L127" s="3"/>
      <c r="M127">
        <v>655</v>
      </c>
      <c r="N127" s="9">
        <v>23.471</v>
      </c>
      <c r="O127">
        <v>655</v>
      </c>
      <c r="P127">
        <v>40.090000000000003</v>
      </c>
      <c r="Q127">
        <v>20851.13</v>
      </c>
    </row>
    <row r="128" spans="1:17">
      <c r="A128" s="3" t="s">
        <v>147</v>
      </c>
      <c r="B128" s="3">
        <v>810</v>
      </c>
      <c r="C128" s="3">
        <v>820</v>
      </c>
      <c r="D128" s="3">
        <f t="shared" si="1"/>
        <v>815</v>
      </c>
      <c r="E128" s="3">
        <v>0.38500000000000001</v>
      </c>
      <c r="F128" s="3">
        <v>1.0980000000000001</v>
      </c>
      <c r="G128" s="3" t="s">
        <v>73</v>
      </c>
      <c r="H128" s="3">
        <v>23.255471503231298</v>
      </c>
      <c r="I128" s="3">
        <v>2.2848202358546099</v>
      </c>
      <c r="J128" s="3">
        <v>-8.4320831603835494E-2</v>
      </c>
      <c r="K128" s="3">
        <v>0.99931804632252696</v>
      </c>
      <c r="L128" s="3"/>
      <c r="M128">
        <v>660</v>
      </c>
      <c r="N128" s="10">
        <v>24.396999999999998</v>
      </c>
      <c r="O128">
        <v>660</v>
      </c>
      <c r="P128">
        <v>41.9</v>
      </c>
      <c r="Q128">
        <v>20722.080000000002</v>
      </c>
    </row>
    <row r="129" spans="1:17">
      <c r="A129" s="3" t="s">
        <v>148</v>
      </c>
      <c r="B129" s="3">
        <v>820</v>
      </c>
      <c r="C129" s="3">
        <v>830</v>
      </c>
      <c r="D129" s="3">
        <f t="shared" si="1"/>
        <v>825</v>
      </c>
      <c r="E129" s="3">
        <v>0.32300000000000001</v>
      </c>
      <c r="F129" s="3">
        <v>1.0049999999999999</v>
      </c>
      <c r="G129" s="3" t="s">
        <v>73</v>
      </c>
      <c r="H129" s="3">
        <v>29.004153939037</v>
      </c>
      <c r="I129" s="3">
        <v>2.2904547258227201</v>
      </c>
      <c r="J129" s="3">
        <v>-0.132916454280504</v>
      </c>
      <c r="K129" s="3">
        <v>1.02014322434775</v>
      </c>
      <c r="L129" s="3"/>
      <c r="M129">
        <v>665</v>
      </c>
      <c r="N129" s="9">
        <v>27.306999999999999</v>
      </c>
      <c r="O129">
        <v>665</v>
      </c>
      <c r="P129">
        <v>40</v>
      </c>
      <c r="Q129">
        <v>28042.25</v>
      </c>
    </row>
    <row r="130" spans="1:17">
      <c r="A130" s="3" t="s">
        <v>149</v>
      </c>
      <c r="B130" s="3">
        <v>830</v>
      </c>
      <c r="C130" s="3">
        <v>840</v>
      </c>
      <c r="D130" s="3">
        <f t="shared" si="1"/>
        <v>835</v>
      </c>
      <c r="E130" s="3">
        <v>0.32800000000000001</v>
      </c>
      <c r="F130" s="3">
        <v>1.046</v>
      </c>
      <c r="G130" s="3" t="s">
        <v>73</v>
      </c>
      <c r="H130" s="3">
        <v>25.9311896905601</v>
      </c>
      <c r="I130" s="3">
        <v>2.1874609047818701</v>
      </c>
      <c r="J130" s="3">
        <v>-0.10833799615831</v>
      </c>
      <c r="K130" s="3">
        <v>1.0146400118958201</v>
      </c>
      <c r="L130" s="3"/>
      <c r="M130">
        <v>670</v>
      </c>
      <c r="N130" s="10">
        <v>21.623999999999999</v>
      </c>
      <c r="O130">
        <v>670</v>
      </c>
      <c r="P130">
        <v>40.229999999999997</v>
      </c>
      <c r="Q130">
        <v>26610.13</v>
      </c>
    </row>
    <row r="131" spans="1:17">
      <c r="A131" s="3" t="s">
        <v>150</v>
      </c>
      <c r="B131" s="3">
        <v>840</v>
      </c>
      <c r="C131" s="3">
        <v>860</v>
      </c>
      <c r="D131" s="3">
        <f t="shared" si="1"/>
        <v>850</v>
      </c>
      <c r="E131" s="3">
        <v>0.318</v>
      </c>
      <c r="F131" s="3">
        <v>1.0880000000000001</v>
      </c>
      <c r="G131" s="3" t="s">
        <v>73</v>
      </c>
      <c r="H131" s="3">
        <v>24.382822320613599</v>
      </c>
      <c r="I131" s="3">
        <v>2.2403423739618602</v>
      </c>
      <c r="J131" s="3">
        <v>-0.10969879848947101</v>
      </c>
      <c r="K131" s="3">
        <v>1.0084955930525601</v>
      </c>
      <c r="L131" s="3"/>
      <c r="M131">
        <v>675</v>
      </c>
      <c r="N131" s="9">
        <v>21.556000000000001</v>
      </c>
      <c r="O131">
        <v>675</v>
      </c>
      <c r="P131">
        <v>38.28</v>
      </c>
      <c r="Q131">
        <v>22140.74</v>
      </c>
    </row>
    <row r="132" spans="1:17">
      <c r="A132" s="3" t="s">
        <v>151</v>
      </c>
      <c r="B132" s="3">
        <v>850</v>
      </c>
      <c r="C132" s="3">
        <v>853</v>
      </c>
      <c r="D132" s="3">
        <f t="shared" ref="D132:D178" si="2">B132+(C132-B132)/2</f>
        <v>851.5</v>
      </c>
      <c r="E132" s="3">
        <v>0.34699999999999998</v>
      </c>
      <c r="F132" s="3">
        <v>1.0149999999999999</v>
      </c>
      <c r="G132" s="3" t="s">
        <v>73</v>
      </c>
      <c r="H132" s="3">
        <v>21.825141835434302</v>
      </c>
      <c r="I132" s="3">
        <v>2.3621469936424702</v>
      </c>
      <c r="J132" s="3">
        <v>-0.100824742237501</v>
      </c>
      <c r="K132" s="3">
        <v>1.0071760535712699</v>
      </c>
      <c r="L132" s="3"/>
      <c r="M132">
        <v>680</v>
      </c>
      <c r="N132" s="10">
        <v>21.818999999999999</v>
      </c>
      <c r="O132">
        <v>680</v>
      </c>
      <c r="P132">
        <v>39.479999999999997</v>
      </c>
      <c r="Q132">
        <v>24259.79</v>
      </c>
    </row>
    <row r="133" spans="1:17">
      <c r="A133" s="3" t="s">
        <v>152</v>
      </c>
      <c r="B133" s="3">
        <v>853</v>
      </c>
      <c r="C133" s="3">
        <v>860</v>
      </c>
      <c r="D133" s="3">
        <f t="shared" si="2"/>
        <v>856.5</v>
      </c>
      <c r="E133" s="3">
        <v>0.316</v>
      </c>
      <c r="F133" s="3">
        <v>1.0189999999999999</v>
      </c>
      <c r="G133" s="3" t="s">
        <v>73</v>
      </c>
      <c r="H133" s="3">
        <v>20.423765977399</v>
      </c>
      <c r="I133" s="3">
        <v>2.12042488089853</v>
      </c>
      <c r="J133" s="3">
        <v>-8.2747551855225907E-2</v>
      </c>
      <c r="K133" s="3">
        <v>1.0068878651676001</v>
      </c>
      <c r="L133" s="3"/>
      <c r="M133">
        <v>685</v>
      </c>
      <c r="N133" s="9">
        <v>21.63</v>
      </c>
      <c r="O133">
        <v>685</v>
      </c>
      <c r="P133">
        <v>37.590000000000003</v>
      </c>
      <c r="Q133">
        <v>24600</v>
      </c>
    </row>
    <row r="134" spans="1:17">
      <c r="A134" s="3" t="s">
        <v>153</v>
      </c>
      <c r="B134" s="3">
        <v>860</v>
      </c>
      <c r="C134" s="3">
        <v>864</v>
      </c>
      <c r="D134" s="3">
        <f t="shared" si="2"/>
        <v>862</v>
      </c>
      <c r="E134" s="3">
        <v>0.39700000000000002</v>
      </c>
      <c r="F134" s="3">
        <v>1.022</v>
      </c>
      <c r="G134" s="3" t="s">
        <v>73</v>
      </c>
      <c r="H134" s="3">
        <v>22.425700023331402</v>
      </c>
      <c r="I134" s="3">
        <v>2.12920827712039</v>
      </c>
      <c r="J134" s="3">
        <v>-9.4053154209038994E-2</v>
      </c>
      <c r="K134" s="3">
        <v>1.01221606153504</v>
      </c>
      <c r="L134" s="3"/>
      <c r="M134">
        <v>690</v>
      </c>
      <c r="N134" s="10">
        <v>19.972999999999999</v>
      </c>
      <c r="O134">
        <v>690</v>
      </c>
      <c r="P134">
        <v>37.799999999999997</v>
      </c>
      <c r="Q134">
        <v>24236.59</v>
      </c>
    </row>
    <row r="135" spans="1:17">
      <c r="A135" s="3" t="s">
        <v>154</v>
      </c>
      <c r="B135" s="3">
        <v>864</v>
      </c>
      <c r="C135" s="3">
        <v>868</v>
      </c>
      <c r="D135" s="3">
        <f t="shared" si="2"/>
        <v>866</v>
      </c>
      <c r="E135" s="3">
        <v>0.3</v>
      </c>
      <c r="F135" s="3">
        <v>1.032</v>
      </c>
      <c r="G135" s="3" t="s">
        <v>73</v>
      </c>
      <c r="H135" s="3">
        <v>23.7147745348786</v>
      </c>
      <c r="I135" s="3">
        <v>2.1756916053745998</v>
      </c>
      <c r="J135" s="3">
        <v>-0.100953299306291</v>
      </c>
      <c r="K135" s="3">
        <v>1.00764226337694</v>
      </c>
      <c r="L135" s="3"/>
      <c r="M135">
        <v>695</v>
      </c>
      <c r="N135" s="9">
        <v>20.173999999999999</v>
      </c>
      <c r="O135">
        <v>695</v>
      </c>
      <c r="P135">
        <v>37.21</v>
      </c>
      <c r="Q135">
        <v>23028.97</v>
      </c>
    </row>
    <row r="136" spans="1:17">
      <c r="A136" s="3" t="s">
        <v>155</v>
      </c>
      <c r="B136" s="3">
        <v>868</v>
      </c>
      <c r="C136" s="3">
        <v>871</v>
      </c>
      <c r="D136" s="3">
        <f t="shared" si="2"/>
        <v>869.5</v>
      </c>
      <c r="E136" s="3">
        <v>0.38900000000000001</v>
      </c>
      <c r="F136" s="3">
        <v>1.0249999999999999</v>
      </c>
      <c r="G136" s="3" t="s">
        <v>73</v>
      </c>
      <c r="H136" s="3">
        <v>25.184669240866999</v>
      </c>
      <c r="I136" s="3">
        <v>2.2436842269178698</v>
      </c>
      <c r="J136" s="3">
        <v>-0.12328995086306201</v>
      </c>
      <c r="K136" s="3">
        <v>1.0213942480801099</v>
      </c>
      <c r="L136" s="3"/>
      <c r="M136">
        <v>700</v>
      </c>
      <c r="N136" s="10">
        <v>19.245000000000001</v>
      </c>
      <c r="O136">
        <v>700</v>
      </c>
      <c r="P136">
        <v>35.58</v>
      </c>
      <c r="Q136">
        <v>22434.43</v>
      </c>
    </row>
    <row r="137" spans="1:17">
      <c r="A137" s="3" t="s">
        <v>156</v>
      </c>
      <c r="B137" s="3">
        <v>871</v>
      </c>
      <c r="C137" s="3">
        <v>874</v>
      </c>
      <c r="D137" s="3">
        <f t="shared" si="2"/>
        <v>872.5</v>
      </c>
      <c r="E137" s="3">
        <v>0.38800000000000001</v>
      </c>
      <c r="F137" s="3">
        <v>1.0269999999999999</v>
      </c>
      <c r="G137" s="3" t="s">
        <v>73</v>
      </c>
      <c r="H137" s="3">
        <v>22.938764084748399</v>
      </c>
      <c r="I137" s="3">
        <v>2.2702607623178799</v>
      </c>
      <c r="J137" s="3">
        <v>-9.8505913564281802E-2</v>
      </c>
      <c r="K137" s="3">
        <v>1.0127639264783499</v>
      </c>
      <c r="L137" s="3"/>
      <c r="M137">
        <v>705</v>
      </c>
      <c r="N137" s="9">
        <v>19.311</v>
      </c>
      <c r="O137">
        <v>705</v>
      </c>
      <c r="P137">
        <v>35.76</v>
      </c>
      <c r="Q137">
        <v>21690.55</v>
      </c>
    </row>
    <row r="138" spans="1:17">
      <c r="A138" s="3" t="s">
        <v>157</v>
      </c>
      <c r="B138" s="3">
        <v>874</v>
      </c>
      <c r="C138" s="3">
        <v>882</v>
      </c>
      <c r="D138" s="3">
        <f t="shared" si="2"/>
        <v>878</v>
      </c>
      <c r="E138" s="3">
        <v>0.38500000000000001</v>
      </c>
      <c r="F138" s="3">
        <v>1.0649999999999999</v>
      </c>
      <c r="G138" s="3" t="s">
        <v>73</v>
      </c>
      <c r="H138" s="3">
        <v>21.144736000919998</v>
      </c>
      <c r="I138" s="3">
        <v>2.2138762675994399</v>
      </c>
      <c r="J138" s="3">
        <v>-9.9378587652605294E-2</v>
      </c>
      <c r="K138" s="3">
        <v>1.0169130011928</v>
      </c>
      <c r="L138" s="3"/>
      <c r="M138">
        <v>710</v>
      </c>
      <c r="N138" s="10">
        <v>20.106999999999999</v>
      </c>
      <c r="O138">
        <v>710</v>
      </c>
      <c r="P138">
        <v>35.83</v>
      </c>
      <c r="Q138">
        <v>23047.74</v>
      </c>
    </row>
    <row r="139" spans="1:17">
      <c r="A139" s="3" t="s">
        <v>158</v>
      </c>
      <c r="B139" s="3">
        <v>882</v>
      </c>
      <c r="C139" s="3">
        <v>886</v>
      </c>
      <c r="D139" s="3">
        <f t="shared" si="2"/>
        <v>884</v>
      </c>
      <c r="E139" s="3">
        <v>0.35699999999999998</v>
      </c>
      <c r="F139" s="3">
        <v>1.0629999999999999</v>
      </c>
      <c r="G139" s="3" t="s">
        <v>73</v>
      </c>
      <c r="H139" s="3">
        <v>21.8548519450679</v>
      </c>
      <c r="I139" s="3">
        <v>2.30120267091751</v>
      </c>
      <c r="J139" s="3">
        <v>-0.11804510158034499</v>
      </c>
      <c r="K139" s="3">
        <v>1.02474641274185</v>
      </c>
      <c r="L139" s="3"/>
      <c r="M139">
        <v>715</v>
      </c>
      <c r="N139" s="9">
        <v>21.166</v>
      </c>
      <c r="O139">
        <v>715</v>
      </c>
      <c r="P139">
        <v>36.33</v>
      </c>
      <c r="Q139">
        <v>20450.02</v>
      </c>
    </row>
    <row r="140" spans="1:17">
      <c r="A140" s="3" t="s">
        <v>159</v>
      </c>
      <c r="B140" s="3">
        <v>886</v>
      </c>
      <c r="C140" s="3">
        <v>890</v>
      </c>
      <c r="D140" s="3">
        <f t="shared" si="2"/>
        <v>888</v>
      </c>
      <c r="E140" s="3">
        <v>0.36899999999999999</v>
      </c>
      <c r="F140" s="3">
        <v>1.0669999999999999</v>
      </c>
      <c r="G140" s="3" t="s">
        <v>73</v>
      </c>
      <c r="H140" s="3">
        <v>21.870994419086699</v>
      </c>
      <c r="I140" s="3">
        <v>2.4438601697119502</v>
      </c>
      <c r="J140" s="3">
        <v>-0.123254226483306</v>
      </c>
      <c r="K140" s="3">
        <v>1.0123458134777401</v>
      </c>
      <c r="L140" s="3"/>
      <c r="M140">
        <v>720</v>
      </c>
      <c r="N140" s="10">
        <v>20.434999999999999</v>
      </c>
      <c r="O140">
        <v>720</v>
      </c>
      <c r="P140">
        <v>36.590000000000003</v>
      </c>
      <c r="Q140">
        <v>20235.810000000001</v>
      </c>
    </row>
    <row r="141" spans="1:17">
      <c r="A141" s="3" t="s">
        <v>160</v>
      </c>
      <c r="B141" s="3">
        <v>890</v>
      </c>
      <c r="C141" s="3">
        <v>900</v>
      </c>
      <c r="D141" s="3">
        <f t="shared" si="2"/>
        <v>895</v>
      </c>
      <c r="E141" s="3">
        <v>0.39300000000000002</v>
      </c>
      <c r="F141" s="3">
        <v>1.012</v>
      </c>
      <c r="G141" s="3" t="s">
        <v>73</v>
      </c>
      <c r="H141" s="3">
        <v>22.415512104953699</v>
      </c>
      <c r="I141" s="3">
        <v>2.32895826607235</v>
      </c>
      <c r="J141" s="3">
        <v>-0.110974872420448</v>
      </c>
      <c r="K141" s="3">
        <v>1.0147553282065001</v>
      </c>
      <c r="L141" s="3"/>
      <c r="M141">
        <v>725</v>
      </c>
      <c r="N141" s="9">
        <v>20.440999999999999</v>
      </c>
      <c r="O141">
        <v>725</v>
      </c>
      <c r="P141">
        <v>36.299999999999997</v>
      </c>
      <c r="Q141">
        <v>19594.61</v>
      </c>
    </row>
    <row r="142" spans="1:17">
      <c r="A142" s="3" t="s">
        <v>161</v>
      </c>
      <c r="B142" s="3">
        <v>900</v>
      </c>
      <c r="C142" s="3">
        <v>910</v>
      </c>
      <c r="D142" s="3">
        <f t="shared" si="2"/>
        <v>905</v>
      </c>
      <c r="E142" s="3">
        <v>0.36299999999999999</v>
      </c>
      <c r="F142" s="3">
        <v>1.0569999999999999</v>
      </c>
      <c r="G142" s="3" t="s">
        <v>73</v>
      </c>
      <c r="H142" s="3">
        <v>25.839757869396799</v>
      </c>
      <c r="I142" s="3">
        <v>2.3112293148760701</v>
      </c>
      <c r="J142" s="3">
        <v>-0.121827925856114</v>
      </c>
      <c r="K142" s="3">
        <v>1.01929204972504</v>
      </c>
      <c r="L142" s="3"/>
      <c r="M142">
        <v>730</v>
      </c>
      <c r="N142" s="10">
        <v>21.1</v>
      </c>
      <c r="O142">
        <v>730</v>
      </c>
      <c r="P142">
        <v>37.630000000000003</v>
      </c>
      <c r="Q142">
        <v>19376.96</v>
      </c>
    </row>
    <row r="143" spans="1:17">
      <c r="A143" s="3" t="s">
        <v>162</v>
      </c>
      <c r="B143" s="3">
        <v>910</v>
      </c>
      <c r="C143" s="3">
        <v>920</v>
      </c>
      <c r="D143" s="3">
        <f t="shared" si="2"/>
        <v>915</v>
      </c>
      <c r="E143" s="3">
        <v>0.36899999999999999</v>
      </c>
      <c r="F143" s="3">
        <v>1.014</v>
      </c>
      <c r="G143" s="3" t="s">
        <v>73</v>
      </c>
      <c r="H143" s="3">
        <v>23.7998553066097</v>
      </c>
      <c r="I143" s="3">
        <v>2.3714738122217001</v>
      </c>
      <c r="J143" s="3">
        <v>-0.12484762314459499</v>
      </c>
      <c r="K143" s="3">
        <v>1.0215347364181599</v>
      </c>
      <c r="L143" s="3"/>
      <c r="M143">
        <v>735</v>
      </c>
      <c r="N143" s="9">
        <v>21.225000000000001</v>
      </c>
      <c r="O143">
        <v>735</v>
      </c>
      <c r="P143">
        <v>36.880000000000003</v>
      </c>
      <c r="Q143">
        <v>23977.439999999999</v>
      </c>
    </row>
    <row r="144" spans="1:17">
      <c r="A144" s="3" t="s">
        <v>163</v>
      </c>
      <c r="B144" s="3">
        <v>920</v>
      </c>
      <c r="C144" s="3">
        <v>930</v>
      </c>
      <c r="D144" s="3">
        <f t="shared" si="2"/>
        <v>925</v>
      </c>
      <c r="E144" s="3">
        <v>0.39700000000000002</v>
      </c>
      <c r="F144" s="3">
        <v>1.01</v>
      </c>
      <c r="G144" s="3" t="s">
        <v>73</v>
      </c>
      <c r="H144" s="3">
        <v>24.5833512492935</v>
      </c>
      <c r="I144" s="3">
        <v>2.2455317265243502</v>
      </c>
      <c r="J144" s="3">
        <v>-0.103977283554784</v>
      </c>
      <c r="K144" s="3">
        <v>1.01214816658422</v>
      </c>
      <c r="L144" s="3"/>
      <c r="M144">
        <v>740</v>
      </c>
      <c r="N144" s="10">
        <v>20.501000000000001</v>
      </c>
      <c r="O144">
        <v>740</v>
      </c>
      <c r="P144">
        <v>36.22</v>
      </c>
      <c r="Q144">
        <v>23085.39</v>
      </c>
    </row>
    <row r="145" spans="1:17">
      <c r="A145" s="3" t="s">
        <v>164</v>
      </c>
      <c r="B145" s="3">
        <v>930</v>
      </c>
      <c r="C145" s="3">
        <v>937</v>
      </c>
      <c r="D145" s="3">
        <f t="shared" si="2"/>
        <v>933.5</v>
      </c>
      <c r="E145" s="3">
        <v>0.377</v>
      </c>
      <c r="F145" s="3">
        <v>1.0049999999999999</v>
      </c>
      <c r="G145" s="3" t="s">
        <v>73</v>
      </c>
      <c r="H145" s="3">
        <v>27.7221694212855</v>
      </c>
      <c r="I145" s="3">
        <v>2.2065681229738399</v>
      </c>
      <c r="J145" s="3">
        <v>-0.12752372689098199</v>
      </c>
      <c r="K145" s="3">
        <v>1.02912380691438</v>
      </c>
      <c r="L145" s="3"/>
      <c r="M145">
        <v>745</v>
      </c>
      <c r="N145" s="9">
        <v>20.234999999999999</v>
      </c>
      <c r="O145">
        <v>745</v>
      </c>
      <c r="P145">
        <v>34.72</v>
      </c>
      <c r="Q145">
        <v>25782.880000000001</v>
      </c>
    </row>
    <row r="146" spans="1:17">
      <c r="A146" s="3" t="s">
        <v>165</v>
      </c>
      <c r="B146" s="3">
        <v>937</v>
      </c>
      <c r="C146" s="3">
        <v>940</v>
      </c>
      <c r="D146" s="3">
        <f t="shared" si="2"/>
        <v>938.5</v>
      </c>
      <c r="E146" s="3">
        <v>0.33300000000000002</v>
      </c>
      <c r="F146" s="3">
        <v>1.036</v>
      </c>
      <c r="G146" s="3" t="s">
        <v>73</v>
      </c>
      <c r="H146" s="3">
        <v>26.275818300023001</v>
      </c>
      <c r="I146" s="3">
        <v>2.18728066586575</v>
      </c>
      <c r="J146" s="3">
        <v>-0.120896326986783</v>
      </c>
      <c r="K146" s="3">
        <v>1.0288504957982201</v>
      </c>
      <c r="L146" s="3"/>
      <c r="M146">
        <v>750</v>
      </c>
      <c r="N146" s="10">
        <v>20.962</v>
      </c>
      <c r="O146">
        <v>750</v>
      </c>
      <c r="P146">
        <v>34.74</v>
      </c>
      <c r="Q146">
        <v>24159.87</v>
      </c>
    </row>
    <row r="147" spans="1:17">
      <c r="A147" s="3" t="s">
        <v>166</v>
      </c>
      <c r="B147" s="3">
        <v>940</v>
      </c>
      <c r="C147" s="3">
        <v>950</v>
      </c>
      <c r="D147" s="3">
        <f t="shared" si="2"/>
        <v>945</v>
      </c>
      <c r="E147" s="3">
        <v>0.38500000000000001</v>
      </c>
      <c r="F147" s="3">
        <v>1.0329999999999999</v>
      </c>
      <c r="G147" s="3" t="s">
        <v>73</v>
      </c>
      <c r="H147" s="3">
        <v>22.440341793269599</v>
      </c>
      <c r="I147" s="3">
        <v>2.40853759375972</v>
      </c>
      <c r="J147" s="3">
        <v>-0.13170855221622499</v>
      </c>
      <c r="K147" s="3">
        <v>1.0172550763591699</v>
      </c>
      <c r="L147" s="3"/>
      <c r="M147">
        <v>755</v>
      </c>
      <c r="N147" s="9">
        <v>22.154</v>
      </c>
      <c r="O147">
        <v>755</v>
      </c>
      <c r="P147">
        <v>34.1</v>
      </c>
      <c r="Q147">
        <v>24336.43</v>
      </c>
    </row>
    <row r="148" spans="1:17">
      <c r="A148" s="3" t="s">
        <v>167</v>
      </c>
      <c r="B148" s="3">
        <v>950</v>
      </c>
      <c r="C148" s="3">
        <v>954</v>
      </c>
      <c r="D148" s="3">
        <f t="shared" si="2"/>
        <v>952</v>
      </c>
      <c r="E148" s="3">
        <v>0.32400000000000001</v>
      </c>
      <c r="F148" s="3">
        <v>1.089</v>
      </c>
      <c r="G148" s="3" t="s">
        <v>73</v>
      </c>
      <c r="H148" s="3">
        <v>20.2438356475304</v>
      </c>
      <c r="I148" s="3">
        <v>2.2148341141199399</v>
      </c>
      <c r="J148" s="3">
        <v>-7.4172478478032294E-2</v>
      </c>
      <c r="K148" s="3">
        <v>1.00310045084318</v>
      </c>
      <c r="L148" s="3"/>
      <c r="M148">
        <v>760</v>
      </c>
      <c r="N148" s="10">
        <v>21.887</v>
      </c>
      <c r="O148">
        <v>760</v>
      </c>
      <c r="P148">
        <v>35.92</v>
      </c>
      <c r="Q148">
        <v>24598.31</v>
      </c>
    </row>
    <row r="149" spans="1:17">
      <c r="A149" s="3" t="s">
        <v>168</v>
      </c>
      <c r="B149" s="3">
        <v>954</v>
      </c>
      <c r="C149" s="3">
        <v>960</v>
      </c>
      <c r="D149" s="3">
        <f t="shared" si="2"/>
        <v>957</v>
      </c>
      <c r="E149" s="3">
        <v>0.33800000000000002</v>
      </c>
      <c r="F149" s="3">
        <v>1.081</v>
      </c>
      <c r="G149" s="3" t="s">
        <v>73</v>
      </c>
      <c r="H149" s="3">
        <v>26.163002677298</v>
      </c>
      <c r="I149" s="3">
        <v>2.23782571065178</v>
      </c>
      <c r="J149" s="3">
        <v>-0.109609081277177</v>
      </c>
      <c r="K149" s="3">
        <v>1.0163598222917301</v>
      </c>
      <c r="L149" s="3"/>
      <c r="M149">
        <v>765</v>
      </c>
      <c r="N149" s="9">
        <v>21.297999999999998</v>
      </c>
      <c r="O149">
        <v>765</v>
      </c>
      <c r="P149">
        <v>35.619999999999997</v>
      </c>
      <c r="Q149">
        <v>26158.69</v>
      </c>
    </row>
    <row r="150" spans="1:17">
      <c r="A150" s="3" t="s">
        <v>169</v>
      </c>
      <c r="B150" s="3">
        <v>960</v>
      </c>
      <c r="C150" s="3">
        <v>965</v>
      </c>
      <c r="D150" s="3">
        <f t="shared" si="2"/>
        <v>962.5</v>
      </c>
      <c r="E150" s="3">
        <v>0.372</v>
      </c>
      <c r="F150" s="3">
        <v>1.079</v>
      </c>
      <c r="G150" s="3" t="s">
        <v>73</v>
      </c>
      <c r="H150" s="3">
        <v>26.545931799486201</v>
      </c>
      <c r="I150" s="3">
        <v>2.25914653526659</v>
      </c>
      <c r="J150" s="3">
        <v>-0.115928064401216</v>
      </c>
      <c r="K150" s="3">
        <v>1.01954144383348</v>
      </c>
      <c r="L150" s="3"/>
      <c r="M150">
        <v>770</v>
      </c>
      <c r="N150" s="10">
        <v>21.492999999999999</v>
      </c>
      <c r="O150">
        <v>770</v>
      </c>
      <c r="P150">
        <v>35.44</v>
      </c>
      <c r="Q150">
        <v>26012.75</v>
      </c>
    </row>
    <row r="151" spans="1:17">
      <c r="A151" s="3" t="s">
        <v>170</v>
      </c>
      <c r="B151" s="3">
        <v>965</v>
      </c>
      <c r="C151" s="3">
        <v>967</v>
      </c>
      <c r="D151" s="3">
        <f t="shared" si="2"/>
        <v>966</v>
      </c>
      <c r="E151" s="3">
        <v>0.33900000000000002</v>
      </c>
      <c r="F151" s="3">
        <v>1.012</v>
      </c>
      <c r="G151" s="3" t="s">
        <v>73</v>
      </c>
      <c r="H151" s="3">
        <v>23.2340519146696</v>
      </c>
      <c r="I151" s="3">
        <v>2.3528424900334599</v>
      </c>
      <c r="J151" s="3">
        <v>-0.124979784343734</v>
      </c>
      <c r="K151" s="3">
        <v>1.0130858701064001</v>
      </c>
      <c r="L151" s="3"/>
      <c r="M151">
        <v>775</v>
      </c>
      <c r="N151" s="9">
        <v>23.148</v>
      </c>
      <c r="O151">
        <v>775</v>
      </c>
      <c r="P151">
        <v>35.96</v>
      </c>
      <c r="Q151">
        <v>23932.14</v>
      </c>
    </row>
    <row r="152" spans="1:17">
      <c r="A152" s="3" t="s">
        <v>171</v>
      </c>
      <c r="B152" s="3">
        <v>967</v>
      </c>
      <c r="C152" s="3">
        <v>973</v>
      </c>
      <c r="D152" s="3">
        <f t="shared" si="2"/>
        <v>970</v>
      </c>
      <c r="E152" s="3">
        <v>0.36799999999999999</v>
      </c>
      <c r="F152" s="3">
        <v>1.077</v>
      </c>
      <c r="G152" s="3" t="s">
        <v>73</v>
      </c>
      <c r="H152" s="3">
        <v>22.519770477819499</v>
      </c>
      <c r="I152" s="3">
        <v>2.29391924946137</v>
      </c>
      <c r="J152" s="3">
        <v>-0.11476931931610899</v>
      </c>
      <c r="K152" s="3">
        <v>1.01685453820537</v>
      </c>
      <c r="L152" s="3"/>
      <c r="M152">
        <v>780</v>
      </c>
      <c r="N152" s="10">
        <v>24.797999999999998</v>
      </c>
      <c r="O152">
        <v>780</v>
      </c>
      <c r="P152">
        <v>37.630000000000003</v>
      </c>
      <c r="Q152">
        <v>21711.91</v>
      </c>
    </row>
    <row r="153" spans="1:17">
      <c r="A153" s="3" t="s">
        <v>172</v>
      </c>
      <c r="B153" s="3">
        <v>973</v>
      </c>
      <c r="C153" s="3">
        <v>978</v>
      </c>
      <c r="D153" s="3">
        <f t="shared" si="2"/>
        <v>975.5</v>
      </c>
      <c r="E153" s="3">
        <v>0.377</v>
      </c>
      <c r="F153" s="3">
        <v>1.024</v>
      </c>
      <c r="G153" s="3" t="s">
        <v>73</v>
      </c>
      <c r="H153" s="3">
        <v>21.674459720842702</v>
      </c>
      <c r="I153" s="3">
        <v>2.4343267490141902</v>
      </c>
      <c r="J153" s="3">
        <v>-0.12628323734497501</v>
      </c>
      <c r="K153" s="3">
        <v>1.00797320125</v>
      </c>
      <c r="L153" s="3"/>
      <c r="M153">
        <v>785</v>
      </c>
      <c r="N153" s="9">
        <v>23.809000000000001</v>
      </c>
      <c r="O153">
        <v>785</v>
      </c>
      <c r="P153">
        <v>38.31</v>
      </c>
      <c r="Q153">
        <v>23265.59</v>
      </c>
    </row>
    <row r="154" spans="1:17">
      <c r="A154" s="3" t="s">
        <v>173</v>
      </c>
      <c r="B154" s="3">
        <v>978</v>
      </c>
      <c r="C154" s="3">
        <v>990</v>
      </c>
      <c r="D154" s="3">
        <f t="shared" si="2"/>
        <v>984</v>
      </c>
      <c r="E154" s="3">
        <v>0.38400000000000001</v>
      </c>
      <c r="F154" s="3">
        <v>1.091</v>
      </c>
      <c r="G154" s="3" t="s">
        <v>73</v>
      </c>
      <c r="H154" s="3">
        <v>22.658623552479401</v>
      </c>
      <c r="I154" s="3">
        <v>2.3400777016441401</v>
      </c>
      <c r="J154" s="3">
        <v>-0.12398491486964799</v>
      </c>
      <c r="K154" s="3">
        <v>1.00991029899044</v>
      </c>
      <c r="L154" s="3"/>
      <c r="M154">
        <v>790</v>
      </c>
      <c r="N154" s="10">
        <v>22.416</v>
      </c>
      <c r="O154">
        <v>790</v>
      </c>
      <c r="P154">
        <v>37.65</v>
      </c>
      <c r="Q154">
        <v>21494.83</v>
      </c>
    </row>
    <row r="155" spans="1:17">
      <c r="A155" s="3" t="s">
        <v>174</v>
      </c>
      <c r="B155" s="3">
        <v>990</v>
      </c>
      <c r="C155" s="3">
        <v>1000</v>
      </c>
      <c r="D155" s="3">
        <f t="shared" si="2"/>
        <v>995</v>
      </c>
      <c r="E155" s="3">
        <v>0.33800000000000002</v>
      </c>
      <c r="F155" s="3">
        <v>1.077</v>
      </c>
      <c r="G155" s="3" t="s">
        <v>175</v>
      </c>
      <c r="H155" s="3">
        <v>24.405778022076401</v>
      </c>
      <c r="I155" s="3">
        <v>2.3637389846386601</v>
      </c>
      <c r="J155" s="3">
        <v>-0.12767545990312301</v>
      </c>
      <c r="K155" s="3">
        <v>1.01375178557004</v>
      </c>
      <c r="L155" s="3"/>
      <c r="M155">
        <v>795</v>
      </c>
      <c r="N155" s="9">
        <v>22.023</v>
      </c>
      <c r="O155">
        <v>795</v>
      </c>
      <c r="P155">
        <v>37.71</v>
      </c>
      <c r="Q155">
        <v>21451.43</v>
      </c>
    </row>
    <row r="156" spans="1:17">
      <c r="A156" s="3" t="s">
        <v>176</v>
      </c>
      <c r="B156" s="3">
        <v>1000</v>
      </c>
      <c r="C156" s="3">
        <v>1016</v>
      </c>
      <c r="D156" s="3">
        <f t="shared" si="2"/>
        <v>1008</v>
      </c>
      <c r="E156" s="3">
        <v>0.316</v>
      </c>
      <c r="F156" s="3">
        <v>1.004</v>
      </c>
      <c r="G156" s="3" t="s">
        <v>175</v>
      </c>
      <c r="H156" s="3">
        <v>25.6558797274553</v>
      </c>
      <c r="I156" s="3">
        <v>2.22729164719687</v>
      </c>
      <c r="J156" s="3">
        <v>-0.11462459426562099</v>
      </c>
      <c r="K156" s="3">
        <v>1.0128536489981701</v>
      </c>
      <c r="L156" s="3"/>
      <c r="M156">
        <v>800</v>
      </c>
      <c r="N156" s="10">
        <v>21.692</v>
      </c>
      <c r="O156">
        <v>800</v>
      </c>
      <c r="P156">
        <v>39.71</v>
      </c>
      <c r="Q156">
        <v>22608.49</v>
      </c>
    </row>
    <row r="157" spans="1:17">
      <c r="A157" s="3" t="s">
        <v>177</v>
      </c>
      <c r="B157" s="3">
        <v>1016</v>
      </c>
      <c r="C157" s="3">
        <v>1020</v>
      </c>
      <c r="D157" s="3">
        <f t="shared" si="2"/>
        <v>1018</v>
      </c>
      <c r="E157" s="3">
        <v>0.32800000000000001</v>
      </c>
      <c r="F157" s="3">
        <v>1.054</v>
      </c>
      <c r="G157" s="3" t="s">
        <v>175</v>
      </c>
      <c r="H157" s="3">
        <v>30.944411706937299</v>
      </c>
      <c r="I157" s="3">
        <v>2.27686437308689</v>
      </c>
      <c r="J157" s="3">
        <v>-0.14656383524369701</v>
      </c>
      <c r="K157" s="3">
        <v>1.0216280393008399</v>
      </c>
      <c r="L157" s="3"/>
      <c r="M157">
        <v>805</v>
      </c>
      <c r="N157" s="9">
        <v>22.617000000000001</v>
      </c>
      <c r="O157">
        <v>805</v>
      </c>
      <c r="P157">
        <v>39.4</v>
      </c>
      <c r="Q157">
        <v>23353.94</v>
      </c>
    </row>
    <row r="158" spans="1:17">
      <c r="A158" s="3" t="s">
        <v>178</v>
      </c>
      <c r="B158" s="3">
        <v>1020</v>
      </c>
      <c r="C158" s="3">
        <v>1030</v>
      </c>
      <c r="D158" s="3">
        <f t="shared" si="2"/>
        <v>1025</v>
      </c>
      <c r="E158" s="3">
        <v>0.36</v>
      </c>
      <c r="F158" s="3">
        <v>1.0609999999999999</v>
      </c>
      <c r="G158" s="3" t="s">
        <v>175</v>
      </c>
      <c r="H158" s="3">
        <v>22.463378330437301</v>
      </c>
      <c r="I158" s="3">
        <v>2.3395449322658002</v>
      </c>
      <c r="J158" s="3">
        <v>-0.100403029627183</v>
      </c>
      <c r="K158" s="3">
        <v>0.99803779314161201</v>
      </c>
      <c r="L158" s="3"/>
      <c r="M158">
        <v>810</v>
      </c>
      <c r="N158" s="10">
        <v>21.622</v>
      </c>
      <c r="O158">
        <v>810</v>
      </c>
      <c r="P158">
        <v>40.68</v>
      </c>
      <c r="Q158">
        <v>24957.439999999999</v>
      </c>
    </row>
    <row r="159" spans="1:17">
      <c r="A159" s="3" t="s">
        <v>179</v>
      </c>
      <c r="B159" s="3">
        <v>1030</v>
      </c>
      <c r="C159" s="3">
        <v>1040</v>
      </c>
      <c r="D159" s="3">
        <f t="shared" si="2"/>
        <v>1035</v>
      </c>
      <c r="E159" s="3">
        <v>0.38400000000000001</v>
      </c>
      <c r="F159" s="3">
        <v>1.087</v>
      </c>
      <c r="G159" s="3" t="s">
        <v>175</v>
      </c>
      <c r="H159" s="3">
        <v>22.8876108795967</v>
      </c>
      <c r="I159" s="3">
        <v>2.1829021371128499</v>
      </c>
      <c r="J159" s="3">
        <v>-8.2248701786727899E-2</v>
      </c>
      <c r="K159" s="3">
        <v>1.00616983219963</v>
      </c>
      <c r="L159" s="3"/>
      <c r="M159">
        <v>815</v>
      </c>
      <c r="N159" s="9">
        <v>19.178999999999998</v>
      </c>
      <c r="O159">
        <v>815</v>
      </c>
      <c r="P159">
        <v>41.24</v>
      </c>
      <c r="Q159">
        <v>25000.82</v>
      </c>
    </row>
    <row r="160" spans="1:17">
      <c r="A160" s="3" t="s">
        <v>180</v>
      </c>
      <c r="B160" s="3">
        <v>1043</v>
      </c>
      <c r="C160" s="3">
        <v>1048</v>
      </c>
      <c r="D160" s="3">
        <f t="shared" si="2"/>
        <v>1045.5</v>
      </c>
      <c r="E160" s="3">
        <v>0.35799999999999998</v>
      </c>
      <c r="F160" s="3">
        <v>1.0389999999999999</v>
      </c>
      <c r="G160" s="3" t="s">
        <v>175</v>
      </c>
      <c r="H160" s="3">
        <v>28.373998431333</v>
      </c>
      <c r="I160" s="3">
        <v>2.3305219666510202</v>
      </c>
      <c r="J160" s="3">
        <v>-0.115755583330132</v>
      </c>
      <c r="K160" s="3">
        <v>0.99742980135725101</v>
      </c>
      <c r="L160" s="3"/>
      <c r="M160">
        <v>820</v>
      </c>
      <c r="N160" s="10">
        <v>18.315999999999999</v>
      </c>
      <c r="O160">
        <v>820</v>
      </c>
      <c r="P160">
        <v>41.18</v>
      </c>
      <c r="Q160">
        <v>25257.83</v>
      </c>
    </row>
    <row r="161" spans="1:17">
      <c r="A161" s="3" t="s">
        <v>181</v>
      </c>
      <c r="B161" s="3">
        <v>1053</v>
      </c>
      <c r="C161" s="3">
        <v>1058</v>
      </c>
      <c r="D161" s="3">
        <f t="shared" si="2"/>
        <v>1055.5</v>
      </c>
      <c r="E161" s="3">
        <v>0.315</v>
      </c>
      <c r="F161" s="3">
        <v>1.097</v>
      </c>
      <c r="G161" s="3" t="s">
        <v>175</v>
      </c>
      <c r="H161" s="3">
        <v>31.817065350673701</v>
      </c>
      <c r="I161" s="3">
        <v>2.2749095239203898</v>
      </c>
      <c r="J161" s="3">
        <v>-0.150344143729641</v>
      </c>
      <c r="K161" s="3">
        <v>1.01731950790577</v>
      </c>
      <c r="L161" s="3"/>
      <c r="M161">
        <v>825</v>
      </c>
      <c r="N161" s="9">
        <v>21.954999999999998</v>
      </c>
      <c r="O161">
        <v>825</v>
      </c>
      <c r="P161">
        <v>38.65</v>
      </c>
      <c r="Q161">
        <v>23360.29</v>
      </c>
    </row>
    <row r="162" spans="1:17">
      <c r="A162" s="3" t="s">
        <v>182</v>
      </c>
      <c r="B162" s="3">
        <v>1063</v>
      </c>
      <c r="C162" s="3">
        <v>1068</v>
      </c>
      <c r="D162" s="3">
        <f t="shared" si="2"/>
        <v>1065.5</v>
      </c>
      <c r="E162" s="3">
        <v>0.375</v>
      </c>
      <c r="F162" s="3">
        <v>1.0069999999999999</v>
      </c>
      <c r="G162" s="3" t="s">
        <v>175</v>
      </c>
      <c r="H162" s="3">
        <v>26.092082091729299</v>
      </c>
      <c r="I162" s="3">
        <v>2.17819750017647</v>
      </c>
      <c r="J162" s="3">
        <v>-0.12671743169870001</v>
      </c>
      <c r="K162" s="3">
        <v>1.02593609470415</v>
      </c>
      <c r="L162" s="3"/>
      <c r="M162">
        <v>830</v>
      </c>
      <c r="N162" s="10">
        <v>21.425999999999998</v>
      </c>
      <c r="O162">
        <v>830</v>
      </c>
      <c r="P162">
        <v>41.69</v>
      </c>
      <c r="Q162">
        <v>25984.68</v>
      </c>
    </row>
    <row r="163" spans="1:17">
      <c r="A163" s="3" t="s">
        <v>183</v>
      </c>
      <c r="B163" s="3">
        <v>1073</v>
      </c>
      <c r="C163" s="3">
        <v>1078</v>
      </c>
      <c r="D163" s="3">
        <f t="shared" si="2"/>
        <v>1075.5</v>
      </c>
      <c r="E163" s="3">
        <v>0.31</v>
      </c>
      <c r="F163" s="3">
        <v>1.0589999999999999</v>
      </c>
      <c r="G163" s="3" t="s">
        <v>175</v>
      </c>
      <c r="H163" s="3">
        <v>22.6500268327468</v>
      </c>
      <c r="I163" s="3">
        <v>2.2678108166039799</v>
      </c>
      <c r="J163" s="3">
        <v>-0.12214664288428401</v>
      </c>
      <c r="K163" s="3">
        <v>1.0168754517190599</v>
      </c>
      <c r="L163" s="3"/>
      <c r="M163">
        <v>835</v>
      </c>
      <c r="N163" s="9">
        <v>20.963000000000001</v>
      </c>
      <c r="O163">
        <v>835</v>
      </c>
      <c r="P163">
        <v>39.340000000000003</v>
      </c>
      <c r="Q163">
        <v>26326.38</v>
      </c>
    </row>
    <row r="164" spans="1:17">
      <c r="A164" s="3" t="s">
        <v>184</v>
      </c>
      <c r="B164" s="3">
        <v>1083</v>
      </c>
      <c r="C164" s="3">
        <v>1088</v>
      </c>
      <c r="D164" s="3">
        <f t="shared" si="2"/>
        <v>1085.5</v>
      </c>
      <c r="E164" s="3">
        <v>0.35299999999999998</v>
      </c>
      <c r="F164" s="3">
        <v>1.022</v>
      </c>
      <c r="G164" s="3" t="s">
        <v>175</v>
      </c>
      <c r="H164" s="3">
        <v>24.967764084486099</v>
      </c>
      <c r="I164" s="3">
        <v>2.2918124532341002</v>
      </c>
      <c r="J164" s="3">
        <v>-0.11550538665217699</v>
      </c>
      <c r="K164" s="3">
        <v>1.0084526222302499</v>
      </c>
      <c r="L164" s="3"/>
      <c r="M164">
        <v>840</v>
      </c>
      <c r="N164" s="10">
        <v>19.245000000000001</v>
      </c>
      <c r="O164">
        <v>840</v>
      </c>
      <c r="P164">
        <v>41.44</v>
      </c>
      <c r="Q164">
        <v>27544.99</v>
      </c>
    </row>
    <row r="165" spans="1:17">
      <c r="A165" s="3" t="s">
        <v>185</v>
      </c>
      <c r="B165" s="3">
        <v>1093</v>
      </c>
      <c r="C165" s="3">
        <v>1098</v>
      </c>
      <c r="D165" s="3">
        <f t="shared" si="2"/>
        <v>1095.5</v>
      </c>
      <c r="E165" s="3">
        <v>0.33600000000000002</v>
      </c>
      <c r="F165" s="3">
        <v>1.032</v>
      </c>
      <c r="G165" s="3" t="s">
        <v>175</v>
      </c>
      <c r="H165" s="3">
        <v>23.221284194452899</v>
      </c>
      <c r="I165" s="3">
        <v>2.22572441435466</v>
      </c>
      <c r="J165" s="3">
        <v>-0.10608901736080401</v>
      </c>
      <c r="K165" s="3">
        <v>1.0065824230389699</v>
      </c>
      <c r="L165" s="3"/>
      <c r="M165">
        <v>845</v>
      </c>
      <c r="N165" s="9">
        <v>20.035</v>
      </c>
      <c r="O165">
        <v>845</v>
      </c>
      <c r="P165">
        <v>39.97</v>
      </c>
      <c r="Q165">
        <v>25872.18</v>
      </c>
    </row>
    <row r="166" spans="1:17">
      <c r="A166" s="3" t="s">
        <v>186</v>
      </c>
      <c r="B166" s="3">
        <v>1103</v>
      </c>
      <c r="C166" s="3">
        <v>1108</v>
      </c>
      <c r="D166" s="3">
        <f t="shared" si="2"/>
        <v>1105.5</v>
      </c>
      <c r="E166" s="3">
        <v>0.36799999999999999</v>
      </c>
      <c r="F166" s="3">
        <v>1.0740000000000001</v>
      </c>
      <c r="G166" s="3" t="s">
        <v>175</v>
      </c>
      <c r="H166" s="3">
        <v>23.428100200372</v>
      </c>
      <c r="I166" s="3">
        <v>2.2492255209722698</v>
      </c>
      <c r="J166" s="3">
        <v>-0.116532253127885</v>
      </c>
      <c r="K166" s="3">
        <v>1.0141446504306</v>
      </c>
      <c r="L166" s="3"/>
      <c r="M166">
        <v>850</v>
      </c>
      <c r="N166" s="10">
        <v>22.484999999999999</v>
      </c>
      <c r="O166">
        <v>850</v>
      </c>
      <c r="P166">
        <v>39.03</v>
      </c>
      <c r="Q166">
        <v>25195.67</v>
      </c>
    </row>
    <row r="167" spans="1:17">
      <c r="A167" s="3" t="s">
        <v>187</v>
      </c>
      <c r="B167" s="3">
        <v>1113</v>
      </c>
      <c r="C167" s="3">
        <v>1118</v>
      </c>
      <c r="D167" s="3">
        <f t="shared" si="2"/>
        <v>1115.5</v>
      </c>
      <c r="E167" s="3">
        <v>0.377</v>
      </c>
      <c r="F167" s="3">
        <v>1.0549999999999999</v>
      </c>
      <c r="G167" s="3" t="s">
        <v>175</v>
      </c>
      <c r="H167" s="3">
        <v>26.161404319970501</v>
      </c>
      <c r="I167" s="3">
        <v>2.2104668332733199</v>
      </c>
      <c r="J167" s="3">
        <v>-0.124531811234638</v>
      </c>
      <c r="K167" s="3">
        <v>1.0211723501460599</v>
      </c>
      <c r="L167" s="3"/>
      <c r="M167">
        <v>855</v>
      </c>
      <c r="N167" s="9">
        <v>21.885999999999999</v>
      </c>
      <c r="O167">
        <v>855</v>
      </c>
      <c r="P167">
        <v>39.229999999999997</v>
      </c>
      <c r="Q167">
        <v>27253.01</v>
      </c>
    </row>
    <row r="168" spans="1:17">
      <c r="A168" s="3" t="s">
        <v>188</v>
      </c>
      <c r="B168" s="3">
        <v>1123</v>
      </c>
      <c r="C168" s="3">
        <v>1128</v>
      </c>
      <c r="D168" s="3">
        <f t="shared" si="2"/>
        <v>1125.5</v>
      </c>
      <c r="E168" s="3">
        <v>0.34499999999999997</v>
      </c>
      <c r="F168" s="3">
        <v>1.0429999999999999</v>
      </c>
      <c r="G168" s="3" t="s">
        <v>175</v>
      </c>
      <c r="H168" s="3">
        <v>20.912592325967399</v>
      </c>
      <c r="I168" s="3">
        <v>2.29259269860166</v>
      </c>
      <c r="J168" s="3">
        <v>-8.3802201574057295E-2</v>
      </c>
      <c r="K168" s="3">
        <v>0.97948613513360405</v>
      </c>
      <c r="L168" s="3"/>
      <c r="M168">
        <v>860</v>
      </c>
      <c r="N168" s="10">
        <v>20.763000000000002</v>
      </c>
      <c r="O168">
        <v>860</v>
      </c>
      <c r="P168">
        <v>45.49</v>
      </c>
      <c r="Q168">
        <v>28126.99</v>
      </c>
    </row>
    <row r="169" spans="1:17">
      <c r="A169" s="3" t="s">
        <v>189</v>
      </c>
      <c r="B169" s="3">
        <v>1133</v>
      </c>
      <c r="C169" s="3">
        <v>1138</v>
      </c>
      <c r="D169" s="3">
        <f t="shared" si="2"/>
        <v>1135.5</v>
      </c>
      <c r="E169" s="3">
        <v>0.34799999999999998</v>
      </c>
      <c r="F169" s="3">
        <v>1.054</v>
      </c>
      <c r="G169" s="3" t="s">
        <v>175</v>
      </c>
      <c r="H169" s="3">
        <v>26.531245295093001</v>
      </c>
      <c r="I169" s="3">
        <v>2.2688611902023301</v>
      </c>
      <c r="J169" s="3">
        <v>-0.11119955506630801</v>
      </c>
      <c r="K169" s="3">
        <v>0.99732207273602302</v>
      </c>
      <c r="L169" s="3"/>
      <c r="M169">
        <v>865</v>
      </c>
      <c r="N169" s="9">
        <v>20.501999999999999</v>
      </c>
      <c r="O169">
        <v>865</v>
      </c>
      <c r="P169">
        <v>39.11</v>
      </c>
      <c r="Q169">
        <v>24875.68</v>
      </c>
    </row>
    <row r="170" spans="1:17">
      <c r="A170" s="3" t="s">
        <v>190</v>
      </c>
      <c r="B170" s="3">
        <v>1143</v>
      </c>
      <c r="C170" s="3">
        <v>1148</v>
      </c>
      <c r="D170" s="3">
        <f t="shared" si="2"/>
        <v>1145.5</v>
      </c>
      <c r="E170" s="3">
        <v>0.39300000000000002</v>
      </c>
      <c r="F170" s="3">
        <v>1.0660000000000001</v>
      </c>
      <c r="G170" s="3" t="s">
        <v>175</v>
      </c>
      <c r="H170" s="3">
        <v>30.0968294411906</v>
      </c>
      <c r="I170" s="3">
        <v>2.3261309096859999</v>
      </c>
      <c r="J170" s="3">
        <v>-0.135797630205577</v>
      </c>
      <c r="K170" s="3">
        <v>0.99338817102429999</v>
      </c>
      <c r="L170" s="3"/>
      <c r="M170">
        <v>870</v>
      </c>
      <c r="N170" s="10">
        <v>22.288</v>
      </c>
      <c r="O170">
        <v>870</v>
      </c>
      <c r="P170">
        <v>39.31</v>
      </c>
      <c r="Q170">
        <v>20452.77</v>
      </c>
    </row>
    <row r="171" spans="1:17">
      <c r="A171" s="3" t="s">
        <v>191</v>
      </c>
      <c r="B171" s="3">
        <v>1153</v>
      </c>
      <c r="C171" s="3">
        <v>1158</v>
      </c>
      <c r="D171" s="3">
        <f t="shared" si="2"/>
        <v>1155.5</v>
      </c>
      <c r="E171" s="3">
        <v>0.36699999999999999</v>
      </c>
      <c r="F171" s="3">
        <v>1.0669999999999999</v>
      </c>
      <c r="G171" s="3" t="s">
        <v>175</v>
      </c>
      <c r="H171" s="3">
        <v>31.3845241727815</v>
      </c>
      <c r="I171" s="3">
        <v>2.3656274215893198</v>
      </c>
      <c r="J171" s="3">
        <v>-0.13603753584388201</v>
      </c>
      <c r="K171" s="3">
        <v>0.98742030496210897</v>
      </c>
      <c r="L171" s="3"/>
      <c r="M171">
        <v>875</v>
      </c>
      <c r="N171" s="9">
        <v>21.163</v>
      </c>
      <c r="O171">
        <v>875</v>
      </c>
      <c r="P171">
        <v>41.66</v>
      </c>
      <c r="Q171">
        <v>18456.34</v>
      </c>
    </row>
    <row r="172" spans="1:17">
      <c r="A172" s="3" t="s">
        <v>192</v>
      </c>
      <c r="B172" s="3">
        <v>1163</v>
      </c>
      <c r="C172" s="3">
        <v>1168</v>
      </c>
      <c r="D172" s="3">
        <f t="shared" si="2"/>
        <v>1165.5</v>
      </c>
      <c r="E172" s="3">
        <v>0.30499999999999999</v>
      </c>
      <c r="F172" s="3">
        <v>1.0629999999999999</v>
      </c>
      <c r="G172" s="3" t="s">
        <v>175</v>
      </c>
      <c r="H172" s="3">
        <v>34.2170365706993</v>
      </c>
      <c r="I172" s="3">
        <v>2.39989110168578</v>
      </c>
      <c r="J172" s="3">
        <v>-0.15256835170320099</v>
      </c>
      <c r="K172" s="3">
        <v>0.98363140646320402</v>
      </c>
      <c r="L172" s="3"/>
      <c r="M172">
        <v>880</v>
      </c>
      <c r="N172" s="10">
        <v>20.303000000000001</v>
      </c>
      <c r="O172">
        <v>880</v>
      </c>
      <c r="P172">
        <v>41.88</v>
      </c>
      <c r="Q172">
        <v>17088.61</v>
      </c>
    </row>
    <row r="173" spans="1:17">
      <c r="A173" s="3" t="s">
        <v>193</v>
      </c>
      <c r="B173" s="3">
        <v>1173</v>
      </c>
      <c r="C173" s="3">
        <v>1178</v>
      </c>
      <c r="D173" s="3">
        <f t="shared" si="2"/>
        <v>1175.5</v>
      </c>
      <c r="E173" s="3">
        <v>0.39200000000000002</v>
      </c>
      <c r="F173" s="3">
        <v>1.0029999999999999</v>
      </c>
      <c r="G173" s="3" t="s">
        <v>175</v>
      </c>
      <c r="H173" s="3">
        <v>31.428863388390099</v>
      </c>
      <c r="I173" s="3">
        <v>2.3760389427283699</v>
      </c>
      <c r="J173" s="3">
        <v>-0.13523107847687299</v>
      </c>
      <c r="K173" s="3">
        <v>0.98519668601685795</v>
      </c>
      <c r="L173" s="3"/>
      <c r="M173">
        <v>885</v>
      </c>
      <c r="N173" s="9">
        <v>19.838999999999999</v>
      </c>
      <c r="O173">
        <v>885</v>
      </c>
      <c r="P173">
        <v>37.869999999999997</v>
      </c>
      <c r="Q173">
        <v>20165.23</v>
      </c>
    </row>
    <row r="174" spans="1:17">
      <c r="A174" s="3" t="s">
        <v>194</v>
      </c>
      <c r="B174" s="3">
        <v>1183</v>
      </c>
      <c r="C174" s="3">
        <v>1188</v>
      </c>
      <c r="D174" s="3">
        <f t="shared" si="2"/>
        <v>1185.5</v>
      </c>
      <c r="E174" s="3">
        <v>0.39200000000000002</v>
      </c>
      <c r="F174" s="3">
        <v>1.002</v>
      </c>
      <c r="G174" s="3" t="s">
        <v>175</v>
      </c>
      <c r="H174" s="3">
        <v>36.042369601176603</v>
      </c>
      <c r="I174" s="3">
        <v>2.4601313921123098</v>
      </c>
      <c r="J174" s="3">
        <v>-0.16786290951459301</v>
      </c>
      <c r="K174" s="3">
        <v>0.97461590135102705</v>
      </c>
      <c r="L174" s="3"/>
      <c r="M174">
        <v>890</v>
      </c>
      <c r="N174" s="10">
        <v>22.088999999999999</v>
      </c>
      <c r="O174">
        <v>890</v>
      </c>
      <c r="P174">
        <v>38.340000000000003</v>
      </c>
      <c r="Q174">
        <v>17133.04</v>
      </c>
    </row>
    <row r="175" spans="1:17">
      <c r="A175" s="3" t="s">
        <v>195</v>
      </c>
      <c r="B175" s="3">
        <v>1193</v>
      </c>
      <c r="C175" s="3">
        <v>1198</v>
      </c>
      <c r="D175" s="3">
        <f t="shared" si="2"/>
        <v>1195.5</v>
      </c>
      <c r="E175" s="3">
        <v>0.32400000000000001</v>
      </c>
      <c r="F175" s="3">
        <v>1.0249999999999999</v>
      </c>
      <c r="G175" s="3" t="s">
        <v>175</v>
      </c>
      <c r="H175" s="3">
        <v>36.4168033904621</v>
      </c>
      <c r="I175" s="3">
        <v>2.4667631206082699</v>
      </c>
      <c r="J175" s="3">
        <v>-0.177166325300877</v>
      </c>
      <c r="K175" s="3">
        <v>0.97399259066011901</v>
      </c>
      <c r="L175" s="3"/>
      <c r="M175">
        <v>895</v>
      </c>
      <c r="N175" s="9">
        <v>22.745999999999999</v>
      </c>
      <c r="O175">
        <v>895</v>
      </c>
      <c r="P175">
        <v>37.770000000000003</v>
      </c>
      <c r="Q175">
        <v>15158.51</v>
      </c>
    </row>
    <row r="176" spans="1:17">
      <c r="A176" s="3" t="s">
        <v>196</v>
      </c>
      <c r="B176" s="3">
        <v>1203</v>
      </c>
      <c r="C176" s="3">
        <v>1208</v>
      </c>
      <c r="D176" s="3">
        <f t="shared" si="2"/>
        <v>1205.5</v>
      </c>
      <c r="E176" s="3">
        <v>0.39100000000000001</v>
      </c>
      <c r="F176" s="3">
        <v>1.0660000000000001</v>
      </c>
      <c r="G176" s="3" t="s">
        <v>175</v>
      </c>
      <c r="H176" s="3">
        <v>36.650619035015403</v>
      </c>
      <c r="I176" s="3">
        <v>2.4538230809741699</v>
      </c>
      <c r="J176" s="3">
        <v>-0.177337115978216</v>
      </c>
      <c r="K176" s="3">
        <v>0.97947501135081705</v>
      </c>
      <c r="L176" s="3"/>
      <c r="M176">
        <v>900</v>
      </c>
      <c r="N176" s="10">
        <v>21.428000000000001</v>
      </c>
      <c r="O176">
        <v>900</v>
      </c>
      <c r="P176">
        <v>37.770000000000003</v>
      </c>
      <c r="Q176">
        <v>17830.34</v>
      </c>
    </row>
    <row r="177" spans="1:17">
      <c r="A177" s="3" t="s">
        <v>197</v>
      </c>
      <c r="B177" s="3">
        <v>1213</v>
      </c>
      <c r="C177" s="3">
        <v>1215</v>
      </c>
      <c r="D177" s="3">
        <f t="shared" si="2"/>
        <v>1214</v>
      </c>
      <c r="E177" s="3">
        <v>0.33100000000000002</v>
      </c>
      <c r="F177" s="3">
        <v>1.0880000000000001</v>
      </c>
      <c r="G177" s="3" t="s">
        <v>175</v>
      </c>
      <c r="H177" s="3">
        <v>37.096352002279303</v>
      </c>
      <c r="I177" s="3">
        <v>2.4651563768907798</v>
      </c>
      <c r="J177" s="3">
        <v>-0.180155558488656</v>
      </c>
      <c r="K177" s="3">
        <v>0.97828166544775697</v>
      </c>
      <c r="L177" s="3"/>
      <c r="M177">
        <v>905</v>
      </c>
      <c r="N177" s="9">
        <v>19.111999999999998</v>
      </c>
      <c r="O177">
        <v>905</v>
      </c>
      <c r="P177">
        <v>37.840000000000003</v>
      </c>
      <c r="Q177">
        <v>18585.36</v>
      </c>
    </row>
    <row r="178" spans="1:17">
      <c r="A178" s="3" t="s">
        <v>198</v>
      </c>
      <c r="B178" s="3">
        <v>1215</v>
      </c>
      <c r="C178" s="3">
        <v>1224</v>
      </c>
      <c r="D178" s="3">
        <f t="shared" si="2"/>
        <v>1219.5</v>
      </c>
      <c r="E178" s="3">
        <v>0.373</v>
      </c>
      <c r="F178" s="3">
        <v>1.093</v>
      </c>
      <c r="G178" s="3" t="s">
        <v>175</v>
      </c>
      <c r="H178" s="3">
        <v>37.201112525182403</v>
      </c>
      <c r="I178" s="3">
        <v>2.47678352766646</v>
      </c>
      <c r="J178" s="3">
        <v>-0.18444873219966201</v>
      </c>
      <c r="K178" s="3">
        <v>0.97481102873440595</v>
      </c>
      <c r="L178" s="3"/>
      <c r="M178">
        <v>910</v>
      </c>
      <c r="N178" s="10">
        <v>18.911000000000001</v>
      </c>
      <c r="O178">
        <v>910</v>
      </c>
      <c r="P178">
        <v>40.01</v>
      </c>
      <c r="Q178">
        <v>16319.66</v>
      </c>
    </row>
    <row r="179" spans="1:17">
      <c r="M179">
        <v>915</v>
      </c>
      <c r="N179" s="9">
        <v>21.693000000000001</v>
      </c>
      <c r="O179">
        <v>915</v>
      </c>
      <c r="P179">
        <v>37.6</v>
      </c>
      <c r="Q179">
        <v>16242.48</v>
      </c>
    </row>
    <row r="180" spans="1:17">
      <c r="M180">
        <v>920</v>
      </c>
      <c r="N180" s="10">
        <v>22.882999999999999</v>
      </c>
      <c r="O180">
        <v>920</v>
      </c>
      <c r="P180">
        <v>36.93</v>
      </c>
      <c r="Q180">
        <v>18334.88</v>
      </c>
    </row>
    <row r="181" spans="1:17">
      <c r="M181">
        <v>925</v>
      </c>
      <c r="N181" s="9">
        <v>22.216999999999999</v>
      </c>
      <c r="O181">
        <v>925</v>
      </c>
      <c r="P181">
        <v>38</v>
      </c>
      <c r="Q181">
        <v>20271.419999999998</v>
      </c>
    </row>
    <row r="182" spans="1:17">
      <c r="M182">
        <v>930</v>
      </c>
      <c r="N182" s="10">
        <v>21.954999999999998</v>
      </c>
      <c r="O182">
        <v>930</v>
      </c>
      <c r="P182">
        <v>39.21</v>
      </c>
      <c r="Q182">
        <v>22740.21</v>
      </c>
    </row>
    <row r="183" spans="1:17">
      <c r="M183">
        <v>935</v>
      </c>
      <c r="N183" s="9">
        <v>21.89</v>
      </c>
      <c r="O183">
        <v>935</v>
      </c>
      <c r="P183">
        <v>40.590000000000003</v>
      </c>
      <c r="Q183">
        <v>24152.86</v>
      </c>
    </row>
    <row r="184" spans="1:17">
      <c r="M184">
        <v>940</v>
      </c>
      <c r="N184" s="10">
        <v>20.704000000000001</v>
      </c>
      <c r="O184">
        <v>940</v>
      </c>
      <c r="P184">
        <v>40.049999999999997</v>
      </c>
      <c r="Q184">
        <v>26736.3</v>
      </c>
    </row>
    <row r="185" spans="1:17">
      <c r="M185">
        <v>945</v>
      </c>
      <c r="N185" s="9">
        <v>19.446000000000002</v>
      </c>
      <c r="O185">
        <v>945</v>
      </c>
      <c r="P185">
        <v>40.35</v>
      </c>
      <c r="Q185">
        <v>21993.35</v>
      </c>
    </row>
    <row r="186" spans="1:17">
      <c r="M186">
        <v>950</v>
      </c>
      <c r="N186" s="10">
        <v>22.027000000000001</v>
      </c>
      <c r="O186">
        <v>950</v>
      </c>
      <c r="P186">
        <v>41.13</v>
      </c>
      <c r="Q186">
        <v>24376.58</v>
      </c>
    </row>
    <row r="187" spans="1:17">
      <c r="M187">
        <v>955</v>
      </c>
      <c r="N187" s="9">
        <v>21.099</v>
      </c>
      <c r="O187">
        <v>955</v>
      </c>
      <c r="P187">
        <v>42.4</v>
      </c>
      <c r="Q187">
        <v>21244.47</v>
      </c>
    </row>
    <row r="188" spans="1:17">
      <c r="M188">
        <v>960</v>
      </c>
      <c r="N188" s="10">
        <v>20.372</v>
      </c>
      <c r="O188">
        <v>960</v>
      </c>
      <c r="P188">
        <v>42.62</v>
      </c>
      <c r="Q188">
        <v>19967.75</v>
      </c>
    </row>
    <row r="189" spans="1:17">
      <c r="M189">
        <v>965</v>
      </c>
      <c r="N189" s="9">
        <v>20.306999999999999</v>
      </c>
      <c r="O189">
        <v>965</v>
      </c>
      <c r="P189">
        <v>39.69</v>
      </c>
      <c r="Q189">
        <v>18208.43</v>
      </c>
    </row>
    <row r="190" spans="1:17">
      <c r="M190">
        <v>970</v>
      </c>
      <c r="N190" s="10">
        <v>24.472000000000001</v>
      </c>
      <c r="O190">
        <v>970</v>
      </c>
      <c r="P190">
        <v>41.3</v>
      </c>
      <c r="Q190">
        <v>14326.16</v>
      </c>
    </row>
    <row r="191" spans="1:17">
      <c r="M191">
        <v>975</v>
      </c>
      <c r="N191" s="9">
        <v>22.355</v>
      </c>
      <c r="O191">
        <v>975</v>
      </c>
      <c r="P191">
        <v>40.92</v>
      </c>
      <c r="Q191">
        <v>15174.52</v>
      </c>
    </row>
    <row r="192" spans="1:17">
      <c r="M192">
        <v>980</v>
      </c>
      <c r="N192" s="10">
        <v>23.477</v>
      </c>
      <c r="O192">
        <v>980</v>
      </c>
      <c r="P192">
        <v>40.21</v>
      </c>
      <c r="Q192">
        <v>13601.12</v>
      </c>
    </row>
    <row r="193" spans="13:17">
      <c r="M193">
        <v>985</v>
      </c>
      <c r="N193" s="9">
        <v>23.806000000000001</v>
      </c>
      <c r="O193">
        <v>985</v>
      </c>
      <c r="P193">
        <v>42.26</v>
      </c>
      <c r="Q193">
        <v>18703.22</v>
      </c>
    </row>
    <row r="194" spans="13:17">
      <c r="M194">
        <v>990</v>
      </c>
      <c r="N194" s="10">
        <v>24.728999999999999</v>
      </c>
      <c r="O194">
        <v>990</v>
      </c>
      <c r="P194">
        <v>42.33</v>
      </c>
      <c r="Q194">
        <v>21138.41</v>
      </c>
    </row>
    <row r="195" spans="13:17">
      <c r="M195">
        <v>995</v>
      </c>
      <c r="N195" s="9">
        <v>23.606000000000002</v>
      </c>
      <c r="O195">
        <v>995</v>
      </c>
      <c r="P195">
        <v>42.92</v>
      </c>
      <c r="Q195">
        <v>23555.87</v>
      </c>
    </row>
    <row r="196" spans="13:17">
      <c r="M196">
        <v>1000</v>
      </c>
      <c r="N196" s="10">
        <v>23.074999999999999</v>
      </c>
      <c r="O196">
        <v>1000</v>
      </c>
      <c r="P196">
        <v>37.64</v>
      </c>
      <c r="Q196">
        <v>27400.57</v>
      </c>
    </row>
    <row r="197" spans="13:17">
      <c r="M197">
        <v>1005</v>
      </c>
      <c r="N197" s="9">
        <v>22.55</v>
      </c>
      <c r="O197">
        <v>1005</v>
      </c>
      <c r="P197">
        <v>36.31</v>
      </c>
      <c r="Q197">
        <v>28716.21</v>
      </c>
    </row>
    <row r="198" spans="13:17">
      <c r="M198">
        <v>1010</v>
      </c>
      <c r="N198" s="10">
        <v>21.885000000000002</v>
      </c>
      <c r="O198">
        <v>1010</v>
      </c>
      <c r="P198">
        <v>36.979999999999997</v>
      </c>
      <c r="Q198">
        <v>28523.09</v>
      </c>
    </row>
    <row r="199" spans="13:17">
      <c r="M199">
        <v>1015</v>
      </c>
      <c r="N199" s="9">
        <v>21.89</v>
      </c>
      <c r="O199">
        <v>1015</v>
      </c>
      <c r="P199">
        <v>36.770000000000003</v>
      </c>
      <c r="Q199">
        <v>27575.9</v>
      </c>
    </row>
    <row r="200" spans="13:17">
      <c r="M200">
        <v>1020</v>
      </c>
      <c r="N200" s="10">
        <v>22.413</v>
      </c>
      <c r="O200">
        <v>1020</v>
      </c>
      <c r="P200">
        <v>36.56</v>
      </c>
      <c r="Q200">
        <v>28202.33</v>
      </c>
    </row>
    <row r="201" spans="13:17">
      <c r="M201">
        <v>1025</v>
      </c>
      <c r="N201" s="9">
        <v>22.48</v>
      </c>
      <c r="O201">
        <v>1025</v>
      </c>
      <c r="P201">
        <v>37.74</v>
      </c>
      <c r="Q201">
        <v>28277.73</v>
      </c>
    </row>
    <row r="202" spans="13:17">
      <c r="M202">
        <v>1030</v>
      </c>
      <c r="N202" s="10">
        <v>20.762</v>
      </c>
      <c r="O202">
        <v>1030</v>
      </c>
      <c r="P202">
        <v>38.71</v>
      </c>
      <c r="Q202">
        <v>28686.61</v>
      </c>
    </row>
    <row r="203" spans="13:17">
      <c r="M203">
        <v>1035</v>
      </c>
      <c r="N203" s="9">
        <v>20.109000000000002</v>
      </c>
      <c r="O203">
        <v>1035</v>
      </c>
      <c r="P203">
        <v>38.94</v>
      </c>
      <c r="Q203">
        <v>28896.720000000001</v>
      </c>
    </row>
    <row r="204" spans="13:17">
      <c r="M204">
        <v>1040</v>
      </c>
      <c r="N204" s="10">
        <v>20.367999999999999</v>
      </c>
      <c r="O204">
        <v>1040</v>
      </c>
      <c r="P204">
        <v>39.29</v>
      </c>
      <c r="Q204">
        <v>29628.89</v>
      </c>
    </row>
    <row r="205" spans="13:17">
      <c r="M205">
        <v>1045</v>
      </c>
      <c r="N205" s="9">
        <v>20.303999999999998</v>
      </c>
      <c r="O205">
        <v>1045</v>
      </c>
      <c r="P205">
        <v>38.96</v>
      </c>
      <c r="Q205">
        <v>28344.41</v>
      </c>
    </row>
    <row r="206" spans="13:17">
      <c r="M206">
        <v>1050</v>
      </c>
      <c r="N206" s="10">
        <v>20.305</v>
      </c>
      <c r="O206">
        <v>1050</v>
      </c>
      <c r="P206">
        <v>37.97</v>
      </c>
      <c r="Q206">
        <v>26783.29</v>
      </c>
    </row>
    <row r="207" spans="13:17">
      <c r="M207">
        <v>1055</v>
      </c>
      <c r="N207" s="9">
        <v>20.105</v>
      </c>
      <c r="O207">
        <v>1055</v>
      </c>
      <c r="P207">
        <v>36.17</v>
      </c>
      <c r="Q207">
        <v>26342.43</v>
      </c>
    </row>
    <row r="208" spans="13:17">
      <c r="M208">
        <v>1060</v>
      </c>
      <c r="N208" s="10">
        <v>21.693999999999999</v>
      </c>
      <c r="O208">
        <v>1060</v>
      </c>
      <c r="P208">
        <v>35.479999999999997</v>
      </c>
      <c r="Q208">
        <v>24694.33</v>
      </c>
    </row>
    <row r="209" spans="13:17">
      <c r="M209">
        <v>1065</v>
      </c>
      <c r="N209" s="9">
        <v>22.617000000000001</v>
      </c>
      <c r="O209">
        <v>1065</v>
      </c>
      <c r="P209">
        <v>37.26</v>
      </c>
      <c r="Q209">
        <v>25591.79</v>
      </c>
    </row>
    <row r="210" spans="13:17">
      <c r="M210">
        <v>1070</v>
      </c>
      <c r="N210" s="10">
        <v>23.079000000000001</v>
      </c>
      <c r="O210">
        <v>1070</v>
      </c>
      <c r="P210">
        <v>37.869999999999997</v>
      </c>
      <c r="Q210">
        <v>26690.61</v>
      </c>
    </row>
    <row r="211" spans="13:17">
      <c r="M211">
        <v>1075</v>
      </c>
      <c r="N211" s="9">
        <v>24.535</v>
      </c>
      <c r="O211">
        <v>1075</v>
      </c>
      <c r="P211">
        <v>38.78</v>
      </c>
      <c r="Q211">
        <v>30113.200000000001</v>
      </c>
    </row>
    <row r="212" spans="13:17">
      <c r="M212">
        <v>1080</v>
      </c>
      <c r="N212" s="10">
        <v>26.056000000000001</v>
      </c>
      <c r="O212">
        <v>1080</v>
      </c>
      <c r="P212">
        <v>40.409999999999997</v>
      </c>
      <c r="Q212">
        <v>30382.21</v>
      </c>
    </row>
    <row r="213" spans="13:17">
      <c r="M213">
        <v>1085</v>
      </c>
      <c r="N213" s="9">
        <v>24.934000000000001</v>
      </c>
      <c r="O213">
        <v>1085</v>
      </c>
      <c r="P213">
        <v>41.12</v>
      </c>
      <c r="Q213">
        <v>29155.81</v>
      </c>
    </row>
    <row r="214" spans="13:17">
      <c r="M214">
        <v>1090</v>
      </c>
      <c r="N214" s="10">
        <v>25.196000000000002</v>
      </c>
      <c r="O214">
        <v>1090</v>
      </c>
      <c r="P214">
        <v>39.72</v>
      </c>
      <c r="Q214">
        <v>27323.38</v>
      </c>
    </row>
    <row r="215" spans="13:17">
      <c r="M215">
        <v>1095</v>
      </c>
      <c r="N215" s="9">
        <v>22.748999999999999</v>
      </c>
      <c r="O215">
        <v>1095</v>
      </c>
      <c r="P215">
        <v>39.99</v>
      </c>
      <c r="Q215">
        <v>29044.35</v>
      </c>
    </row>
    <row r="216" spans="13:17">
      <c r="M216">
        <v>1100</v>
      </c>
      <c r="N216" s="10">
        <v>24.87</v>
      </c>
      <c r="O216">
        <v>1100</v>
      </c>
      <c r="P216">
        <v>40.01</v>
      </c>
      <c r="Q216">
        <v>28514.3</v>
      </c>
    </row>
    <row r="217" spans="13:17">
      <c r="M217">
        <v>1105</v>
      </c>
      <c r="N217" s="9">
        <v>25.068999999999999</v>
      </c>
      <c r="O217">
        <v>1105</v>
      </c>
      <c r="P217">
        <v>40.99</v>
      </c>
      <c r="Q217">
        <v>29706.32</v>
      </c>
    </row>
    <row r="218" spans="13:17">
      <c r="M218">
        <v>1110</v>
      </c>
      <c r="N218" s="10">
        <v>23.547000000000001</v>
      </c>
      <c r="O218">
        <v>1110</v>
      </c>
      <c r="P218">
        <v>41.22</v>
      </c>
      <c r="Q218">
        <v>30568.28</v>
      </c>
    </row>
    <row r="219" spans="13:17">
      <c r="M219">
        <v>1115</v>
      </c>
      <c r="N219" s="9">
        <v>23.414999999999999</v>
      </c>
      <c r="O219">
        <v>1115</v>
      </c>
      <c r="P219">
        <v>41.89</v>
      </c>
      <c r="Q219">
        <v>30108.42</v>
      </c>
    </row>
    <row r="220" spans="13:17">
      <c r="M220">
        <v>1120</v>
      </c>
      <c r="N220" s="10">
        <v>24.803000000000001</v>
      </c>
      <c r="O220">
        <v>1120</v>
      </c>
      <c r="P220">
        <v>40.049999999999997</v>
      </c>
      <c r="Q220">
        <v>28394.99</v>
      </c>
    </row>
    <row r="221" spans="13:17">
      <c r="M221">
        <v>1125</v>
      </c>
      <c r="N221" s="9">
        <v>24.600999999999999</v>
      </c>
      <c r="O221">
        <v>1125</v>
      </c>
      <c r="P221">
        <v>39.83</v>
      </c>
      <c r="Q221">
        <v>29419.599999999999</v>
      </c>
    </row>
    <row r="222" spans="13:17">
      <c r="M222">
        <v>1130</v>
      </c>
      <c r="N222" s="10">
        <v>23.742999999999999</v>
      </c>
      <c r="O222">
        <v>1130</v>
      </c>
      <c r="P222">
        <v>40.04</v>
      </c>
      <c r="Q222">
        <v>30616.33</v>
      </c>
    </row>
    <row r="223" spans="13:17">
      <c r="M223">
        <v>1135</v>
      </c>
      <c r="N223" s="9">
        <v>23.341000000000001</v>
      </c>
      <c r="O223">
        <v>1135</v>
      </c>
      <c r="P223">
        <v>38.47</v>
      </c>
      <c r="Q223">
        <v>31227.13</v>
      </c>
    </row>
    <row r="224" spans="13:17">
      <c r="M224">
        <v>1140</v>
      </c>
      <c r="N224" s="10">
        <v>23.077000000000002</v>
      </c>
      <c r="O224">
        <v>1140</v>
      </c>
      <c r="P224">
        <v>37.97</v>
      </c>
      <c r="Q224">
        <v>30108.639999999999</v>
      </c>
    </row>
    <row r="225" spans="13:17">
      <c r="M225">
        <v>1145</v>
      </c>
      <c r="N225" s="9">
        <v>23.61</v>
      </c>
      <c r="O225">
        <v>1145</v>
      </c>
      <c r="P225">
        <v>39.33</v>
      </c>
      <c r="Q225">
        <v>30528.09</v>
      </c>
    </row>
    <row r="226" spans="13:17">
      <c r="M226">
        <v>1150</v>
      </c>
      <c r="N226" s="10">
        <v>23.411000000000001</v>
      </c>
      <c r="O226">
        <v>1150</v>
      </c>
      <c r="P226">
        <v>41.72</v>
      </c>
      <c r="Q226">
        <v>29919.22</v>
      </c>
    </row>
    <row r="227" spans="13:17">
      <c r="M227">
        <v>1155</v>
      </c>
      <c r="N227" s="9">
        <v>22.745000000000001</v>
      </c>
      <c r="O227">
        <v>1155</v>
      </c>
      <c r="P227">
        <v>36.880000000000003</v>
      </c>
      <c r="Q227">
        <v>28926.01</v>
      </c>
    </row>
    <row r="228" spans="13:17">
      <c r="M228">
        <v>1160</v>
      </c>
      <c r="N228" s="10">
        <v>22.550999999999998</v>
      </c>
      <c r="O228">
        <v>1160</v>
      </c>
      <c r="P228">
        <v>36.36</v>
      </c>
      <c r="Q228">
        <v>29701.03</v>
      </c>
    </row>
    <row r="229" spans="13:17">
      <c r="M229">
        <v>1165</v>
      </c>
      <c r="N229" s="9">
        <v>23.146999999999998</v>
      </c>
      <c r="O229">
        <v>1165</v>
      </c>
      <c r="P229">
        <v>35.71</v>
      </c>
      <c r="Q229">
        <v>28664.46</v>
      </c>
    </row>
    <row r="230" spans="13:17">
      <c r="M230">
        <v>1170</v>
      </c>
      <c r="N230" s="10">
        <v>22.748000000000001</v>
      </c>
      <c r="O230">
        <v>1170</v>
      </c>
      <c r="P230">
        <v>38.57</v>
      </c>
      <c r="Q230">
        <v>27798.23</v>
      </c>
    </row>
    <row r="231" spans="13:17">
      <c r="M231">
        <v>1175</v>
      </c>
      <c r="N231" s="9">
        <v>22.48</v>
      </c>
      <c r="O231">
        <v>1175</v>
      </c>
      <c r="P231">
        <v>36.409999999999997</v>
      </c>
      <c r="Q231">
        <v>29606.71</v>
      </c>
    </row>
    <row r="232" spans="13:17">
      <c r="M232">
        <v>1180</v>
      </c>
      <c r="N232" s="10">
        <v>22.221</v>
      </c>
      <c r="O232">
        <v>1180</v>
      </c>
      <c r="P232">
        <v>36.17</v>
      </c>
      <c r="Q232">
        <v>25117.119999999999</v>
      </c>
    </row>
    <row r="233" spans="13:17">
      <c r="M233">
        <v>1185</v>
      </c>
      <c r="N233" s="9">
        <v>22.814</v>
      </c>
      <c r="O233">
        <v>1185</v>
      </c>
      <c r="P233">
        <v>36.04</v>
      </c>
      <c r="Q233">
        <v>26671.599999999999</v>
      </c>
    </row>
    <row r="234" spans="13:17">
      <c r="M234">
        <v>1190</v>
      </c>
      <c r="N234" s="10">
        <v>22.419</v>
      </c>
      <c r="O234">
        <v>1190</v>
      </c>
      <c r="P234">
        <v>34.450000000000003</v>
      </c>
      <c r="Q234">
        <v>28722.68</v>
      </c>
    </row>
    <row r="235" spans="13:17">
      <c r="M235">
        <v>1195</v>
      </c>
      <c r="N235" s="9">
        <v>22.021000000000001</v>
      </c>
      <c r="O235">
        <v>1195</v>
      </c>
      <c r="P235">
        <v>33.049999999999997</v>
      </c>
      <c r="Q235">
        <v>27434.01</v>
      </c>
    </row>
    <row r="236" spans="13:17">
      <c r="M236">
        <v>1200</v>
      </c>
      <c r="N236" s="10">
        <v>20.7</v>
      </c>
      <c r="O236">
        <v>1200</v>
      </c>
      <c r="P236">
        <v>32.46</v>
      </c>
      <c r="Q236">
        <v>26342.27</v>
      </c>
    </row>
    <row r="237" spans="13:17">
      <c r="M237">
        <v>1205</v>
      </c>
      <c r="N237" s="9">
        <v>19.969000000000001</v>
      </c>
      <c r="O237">
        <v>1205</v>
      </c>
      <c r="P237">
        <v>34.58</v>
      </c>
      <c r="Q237">
        <v>27245.14</v>
      </c>
    </row>
    <row r="238" spans="13:17">
      <c r="M238">
        <v>1210</v>
      </c>
      <c r="N238" s="10">
        <v>19.047000000000001</v>
      </c>
      <c r="O238">
        <v>1210</v>
      </c>
      <c r="P238">
        <v>35.92</v>
      </c>
      <c r="Q238">
        <v>27495.84</v>
      </c>
    </row>
    <row r="239" spans="13:17">
      <c r="M239">
        <v>1215</v>
      </c>
      <c r="N239" s="9">
        <v>19.045000000000002</v>
      </c>
      <c r="O239">
        <v>1215</v>
      </c>
      <c r="P239">
        <v>31.25</v>
      </c>
      <c r="Q239">
        <v>25840.799999999999</v>
      </c>
    </row>
    <row r="240" spans="13:17">
      <c r="N240" s="10"/>
      <c r="Q240">
        <v>27173.17</v>
      </c>
    </row>
    <row r="241" spans="14:17">
      <c r="N241" s="9"/>
      <c r="Q241">
        <v>25501.15</v>
      </c>
    </row>
    <row r="242" spans="14:17">
      <c r="N242" s="10"/>
      <c r="Q242">
        <v>22136.9</v>
      </c>
    </row>
    <row r="243" spans="14:17">
      <c r="N243" s="9"/>
      <c r="Q243">
        <v>17829.93</v>
      </c>
    </row>
    <row r="244" spans="14:17">
      <c r="N244" s="10"/>
      <c r="Q244">
        <v>20939.650000000001</v>
      </c>
    </row>
  </sheetData>
  <mergeCells count="9">
    <mergeCell ref="G1:G2"/>
    <mergeCell ref="H1:K1"/>
    <mergeCell ref="L1:L2"/>
    <mergeCell ref="A1:A2"/>
    <mergeCell ref="B1:B2"/>
    <mergeCell ref="C1:C2"/>
    <mergeCell ref="D1:D2"/>
    <mergeCell ref="E1:E2"/>
    <mergeCell ref="F1:F2"/>
  </mergeCells>
  <conditionalFormatting sqref="A3:L178">
    <cfRule type="expression" dxfId="5" priority="4">
      <formula>$G3="Pre-Maori"</formula>
    </cfRule>
    <cfRule type="expression" dxfId="4" priority="5">
      <formula>$G3="Pre-European"</formula>
    </cfRule>
    <cfRule type="expression" dxfId="3" priority="6">
      <formula>$G3="Modern"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43"/>
  <sheetViews>
    <sheetView topLeftCell="U1" zoomScale="84" workbookViewId="0">
      <selection activeCell="AO2" sqref="AO2:AO243"/>
    </sheetView>
  </sheetViews>
  <sheetFormatPr defaultRowHeight="14.65"/>
  <sheetData>
    <row r="1" spans="1:4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199</v>
      </c>
      <c r="H1" s="11" t="s">
        <v>6</v>
      </c>
      <c r="I1" s="11" t="s">
        <v>7</v>
      </c>
      <c r="J1" s="11"/>
      <c r="K1" s="11"/>
      <c r="L1" s="11"/>
      <c r="M1" s="11" t="s">
        <v>8</v>
      </c>
      <c r="AN1" t="s">
        <v>200</v>
      </c>
      <c r="AO1" t="s">
        <v>201</v>
      </c>
      <c r="AP1" t="s">
        <v>202</v>
      </c>
      <c r="AR1" t="s">
        <v>200</v>
      </c>
      <c r="AS1" t="s">
        <v>21</v>
      </c>
      <c r="AT1" t="s">
        <v>73</v>
      </c>
      <c r="AU1" t="s">
        <v>175</v>
      </c>
    </row>
    <row r="2" spans="1:47">
      <c r="A2" s="11"/>
      <c r="B2" s="11"/>
      <c r="C2" s="11"/>
      <c r="D2" s="11"/>
      <c r="E2" s="11"/>
      <c r="F2" s="11"/>
      <c r="G2" s="11"/>
      <c r="H2" s="11"/>
      <c r="I2" s="1" t="s">
        <v>11</v>
      </c>
      <c r="J2" s="1" t="s">
        <v>12</v>
      </c>
      <c r="K2" s="1" t="s">
        <v>13</v>
      </c>
      <c r="L2" s="1" t="s">
        <v>14</v>
      </c>
      <c r="M2" s="11"/>
      <c r="Q2" t="s">
        <v>203</v>
      </c>
      <c r="R2" t="s">
        <v>204</v>
      </c>
      <c r="S2" t="s">
        <v>21</v>
      </c>
      <c r="AN2" s="2" t="s">
        <v>205</v>
      </c>
      <c r="AO2">
        <f>AN2*10</f>
        <v>35</v>
      </c>
      <c r="AP2" s="2">
        <v>17.724</v>
      </c>
      <c r="AR2">
        <v>21</v>
      </c>
      <c r="AS2">
        <v>18.7335153936476</v>
      </c>
    </row>
    <row r="3" spans="1:47">
      <c r="A3" s="3" t="s">
        <v>20</v>
      </c>
      <c r="B3" s="3">
        <v>20</v>
      </c>
      <c r="C3" s="3">
        <v>22</v>
      </c>
      <c r="D3" s="3">
        <f>B3+(C3-B3)/2</f>
        <v>21</v>
      </c>
      <c r="E3" s="3">
        <v>0.33600000000000002</v>
      </c>
      <c r="F3" s="3">
        <v>1.0589999999999999</v>
      </c>
      <c r="G3" s="3"/>
      <c r="H3" s="3" t="s">
        <v>21</v>
      </c>
      <c r="I3" s="3">
        <v>18.7335153936476</v>
      </c>
      <c r="J3" s="3">
        <v>2.2390071462300098</v>
      </c>
      <c r="K3" s="3">
        <v>-8.6735008121244406E-2</v>
      </c>
      <c r="L3" s="3">
        <v>1.0022412549700901</v>
      </c>
      <c r="M3" s="3">
        <v>7.7099000000000002</v>
      </c>
      <c r="Q3" s="4"/>
      <c r="R3" s="5"/>
      <c r="S3" s="6"/>
      <c r="AN3" s="7" t="s">
        <v>206</v>
      </c>
      <c r="AO3">
        <f t="shared" ref="AO3:AO66" si="0">AN3*10</f>
        <v>40</v>
      </c>
      <c r="AP3" s="7">
        <v>17.065999999999999</v>
      </c>
      <c r="AR3">
        <v>30</v>
      </c>
      <c r="AS3">
        <v>18.8993612138174</v>
      </c>
    </row>
    <row r="4" spans="1:47">
      <c r="A4" s="3" t="s">
        <v>22</v>
      </c>
      <c r="B4" s="3">
        <v>25</v>
      </c>
      <c r="C4" s="3">
        <v>35</v>
      </c>
      <c r="D4" s="3">
        <f t="shared" ref="D4:D67" si="1">B4+(C4-B4)/2</f>
        <v>30</v>
      </c>
      <c r="E4" s="3">
        <v>0.314</v>
      </c>
      <c r="F4" s="3">
        <v>1.002</v>
      </c>
      <c r="G4" s="3"/>
      <c r="H4" s="3" t="s">
        <v>21</v>
      </c>
      <c r="I4" s="3">
        <v>18.8993612138174</v>
      </c>
      <c r="J4" s="3">
        <v>2.2181173431859298</v>
      </c>
      <c r="K4" s="3">
        <v>-9.8219004818876701E-2</v>
      </c>
      <c r="L4" s="3">
        <v>1.00536363127392</v>
      </c>
      <c r="M4" s="3">
        <v>9.0305</v>
      </c>
      <c r="AN4" s="2" t="s">
        <v>207</v>
      </c>
      <c r="AO4">
        <f t="shared" si="0"/>
        <v>45</v>
      </c>
      <c r="AP4" s="2">
        <v>17.529</v>
      </c>
      <c r="AR4">
        <v>43</v>
      </c>
      <c r="AS4">
        <v>16.707771934454598</v>
      </c>
    </row>
    <row r="5" spans="1:47">
      <c r="A5" s="3" t="s">
        <v>23</v>
      </c>
      <c r="B5" s="3">
        <v>40</v>
      </c>
      <c r="C5" s="3">
        <v>46</v>
      </c>
      <c r="D5" s="3">
        <f t="shared" si="1"/>
        <v>43</v>
      </c>
      <c r="E5" s="3">
        <v>0.34899999999999998</v>
      </c>
      <c r="F5" s="3">
        <v>1.024</v>
      </c>
      <c r="G5" s="3"/>
      <c r="H5" s="3" t="s">
        <v>21</v>
      </c>
      <c r="I5" s="3">
        <v>16.707771934454598</v>
      </c>
      <c r="J5" s="3">
        <v>2.37037687661411</v>
      </c>
      <c r="K5" s="3">
        <v>-9.1726697655726303E-2</v>
      </c>
      <c r="L5" s="3">
        <v>0.99045751353044398</v>
      </c>
      <c r="M5" s="3">
        <v>8.9145000000000003</v>
      </c>
      <c r="AN5" s="7" t="s">
        <v>208</v>
      </c>
      <c r="AO5">
        <f t="shared" si="0"/>
        <v>50</v>
      </c>
      <c r="AP5" s="7">
        <v>17.856999999999999</v>
      </c>
      <c r="AR5">
        <v>49</v>
      </c>
      <c r="AS5">
        <v>16.614103688470198</v>
      </c>
    </row>
    <row r="6" spans="1:47">
      <c r="A6" s="3" t="s">
        <v>24</v>
      </c>
      <c r="B6" s="3">
        <v>48</v>
      </c>
      <c r="C6" s="3">
        <v>50</v>
      </c>
      <c r="D6" s="3">
        <f t="shared" si="1"/>
        <v>49</v>
      </c>
      <c r="E6" s="3">
        <v>0.35899999999999999</v>
      </c>
      <c r="F6" s="3">
        <v>1.054</v>
      </c>
      <c r="G6" s="3"/>
      <c r="H6" s="3" t="s">
        <v>21</v>
      </c>
      <c r="I6" s="3">
        <v>16.614103688470198</v>
      </c>
      <c r="J6" s="3">
        <v>2.3284257118607901</v>
      </c>
      <c r="K6" s="3">
        <v>-9.0137783984584802E-2</v>
      </c>
      <c r="L6" s="3">
        <v>0.99443457635506904</v>
      </c>
      <c r="M6" s="3">
        <v>10.451000000000001</v>
      </c>
      <c r="AN6" s="2" t="s">
        <v>209</v>
      </c>
      <c r="AO6">
        <f t="shared" si="0"/>
        <v>55</v>
      </c>
      <c r="AP6" s="2">
        <v>18.39</v>
      </c>
      <c r="AR6">
        <v>58.5</v>
      </c>
      <c r="AS6">
        <v>17.600297753157101</v>
      </c>
    </row>
    <row r="7" spans="1:47">
      <c r="A7" s="3" t="s">
        <v>25</v>
      </c>
      <c r="B7" s="3">
        <v>56</v>
      </c>
      <c r="C7" s="3">
        <v>61</v>
      </c>
      <c r="D7" s="3">
        <f t="shared" si="1"/>
        <v>58.5</v>
      </c>
      <c r="E7" s="3">
        <v>0.36399999999999999</v>
      </c>
      <c r="F7" s="3">
        <v>1.02</v>
      </c>
      <c r="G7" s="3"/>
      <c r="H7" s="3" t="s">
        <v>21</v>
      </c>
      <c r="I7" s="3">
        <v>17.600297753157101</v>
      </c>
      <c r="J7" s="3">
        <v>2.4378083727308102</v>
      </c>
      <c r="K7" s="3">
        <v>-8.4709258409008004E-2</v>
      </c>
      <c r="L7" s="3">
        <v>0.98910845821021498</v>
      </c>
      <c r="M7" s="3">
        <v>8.9504000000000001</v>
      </c>
      <c r="AN7" s="7" t="s">
        <v>210</v>
      </c>
      <c r="AO7">
        <f t="shared" si="0"/>
        <v>60</v>
      </c>
      <c r="AP7" s="7">
        <v>18.648</v>
      </c>
      <c r="AR7">
        <v>69.5</v>
      </c>
      <c r="AS7">
        <v>19.023804448800298</v>
      </c>
    </row>
    <row r="8" spans="1:47">
      <c r="A8" s="3" t="s">
        <v>26</v>
      </c>
      <c r="B8" s="3">
        <v>68</v>
      </c>
      <c r="C8" s="3">
        <v>71</v>
      </c>
      <c r="D8" s="3">
        <f t="shared" si="1"/>
        <v>69.5</v>
      </c>
      <c r="E8" s="3">
        <v>0.39600000000000002</v>
      </c>
      <c r="F8" s="3">
        <v>1.0509999999999999</v>
      </c>
      <c r="G8" s="3"/>
      <c r="H8" s="3" t="s">
        <v>21</v>
      </c>
      <c r="I8" s="3">
        <v>19.023804448800298</v>
      </c>
      <c r="J8" s="3">
        <v>2.4426459832283101</v>
      </c>
      <c r="K8" s="3">
        <v>-6.8494468451504101E-2</v>
      </c>
      <c r="L8" s="3">
        <v>0.99931026799991596</v>
      </c>
      <c r="M8" s="3">
        <v>9.2109000000000005</v>
      </c>
      <c r="AN8" s="2" t="s">
        <v>211</v>
      </c>
      <c r="AO8">
        <f t="shared" si="0"/>
        <v>65</v>
      </c>
      <c r="AP8" s="2">
        <v>19.312000000000001</v>
      </c>
      <c r="AR8">
        <v>79</v>
      </c>
      <c r="AS8">
        <v>16.631812132910699</v>
      </c>
    </row>
    <row r="9" spans="1:47">
      <c r="A9" s="3" t="s">
        <v>27</v>
      </c>
      <c r="B9" s="3">
        <v>76</v>
      </c>
      <c r="C9" s="3">
        <v>82</v>
      </c>
      <c r="D9" s="3">
        <f t="shared" si="1"/>
        <v>79</v>
      </c>
      <c r="E9" s="3">
        <v>0.38700000000000001</v>
      </c>
      <c r="F9" s="3">
        <v>1.01</v>
      </c>
      <c r="G9" s="3"/>
      <c r="H9" s="3" t="s">
        <v>21</v>
      </c>
      <c r="I9" s="3">
        <v>16.631812132910699</v>
      </c>
      <c r="J9" s="3">
        <v>2.2752129756868702</v>
      </c>
      <c r="K9" s="3">
        <v>-8.99431275448863E-2</v>
      </c>
      <c r="L9" s="3">
        <v>1.0092204406459799</v>
      </c>
      <c r="M9" s="3">
        <v>9.6591000000000005</v>
      </c>
      <c r="AN9" s="7" t="s">
        <v>212</v>
      </c>
      <c r="AO9">
        <f t="shared" si="0"/>
        <v>70</v>
      </c>
      <c r="AP9" s="7">
        <v>19.645</v>
      </c>
      <c r="AR9">
        <v>90.5</v>
      </c>
      <c r="AS9">
        <v>17.318757436651001</v>
      </c>
    </row>
    <row r="10" spans="1:47">
      <c r="A10" s="3" t="s">
        <v>28</v>
      </c>
      <c r="B10" s="3">
        <v>89</v>
      </c>
      <c r="C10" s="3">
        <v>92</v>
      </c>
      <c r="D10" s="3">
        <f t="shared" si="1"/>
        <v>90.5</v>
      </c>
      <c r="E10" s="3">
        <v>0.38600000000000001</v>
      </c>
      <c r="F10" s="3">
        <v>1.048</v>
      </c>
      <c r="G10" s="3"/>
      <c r="H10" s="3" t="s">
        <v>21</v>
      </c>
      <c r="I10" s="3">
        <v>17.318757436651001</v>
      </c>
      <c r="J10" s="3">
        <v>2.43105571695863</v>
      </c>
      <c r="K10" s="3">
        <v>-5.9503354790283298E-2</v>
      </c>
      <c r="L10" s="3">
        <v>1.00520361561492</v>
      </c>
      <c r="M10" s="3">
        <v>9.1496999999999993</v>
      </c>
      <c r="AN10" s="2" t="s">
        <v>213</v>
      </c>
      <c r="AO10">
        <f t="shared" si="0"/>
        <v>75</v>
      </c>
      <c r="AP10" s="2">
        <v>18.718</v>
      </c>
      <c r="AR10">
        <v>100</v>
      </c>
      <c r="AS10">
        <v>17.977122391566901</v>
      </c>
    </row>
    <row r="11" spans="1:47">
      <c r="A11" s="3" t="s">
        <v>29</v>
      </c>
      <c r="B11" s="3">
        <v>99</v>
      </c>
      <c r="C11" s="3">
        <v>101</v>
      </c>
      <c r="D11" s="3">
        <f t="shared" si="1"/>
        <v>100</v>
      </c>
      <c r="E11" s="3">
        <v>0.32500000000000001</v>
      </c>
      <c r="F11" s="3">
        <v>1.056</v>
      </c>
      <c r="G11" s="3"/>
      <c r="H11" s="3" t="s">
        <v>21</v>
      </c>
      <c r="I11" s="3">
        <v>17.977122391566901</v>
      </c>
      <c r="J11" s="3">
        <v>2.3728498731933101</v>
      </c>
      <c r="K11" s="3">
        <v>-6.4478678838163397E-2</v>
      </c>
      <c r="L11" s="3">
        <v>1.0006343922021299</v>
      </c>
      <c r="M11" s="3">
        <v>9.6885999999999992</v>
      </c>
      <c r="AN11" s="7" t="s">
        <v>214</v>
      </c>
      <c r="AO11">
        <f t="shared" si="0"/>
        <v>80</v>
      </c>
      <c r="AP11" s="7">
        <v>18.12</v>
      </c>
      <c r="AR11">
        <v>108.5</v>
      </c>
      <c r="AS11">
        <v>18.832745529055899</v>
      </c>
    </row>
    <row r="12" spans="1:47">
      <c r="A12" s="3" t="s">
        <v>30</v>
      </c>
      <c r="B12" s="3">
        <v>107</v>
      </c>
      <c r="C12" s="3">
        <v>110</v>
      </c>
      <c r="D12" s="3">
        <f t="shared" si="1"/>
        <v>108.5</v>
      </c>
      <c r="E12" s="3">
        <v>0.36199999999999999</v>
      </c>
      <c r="F12" s="3">
        <v>1.07</v>
      </c>
      <c r="G12" s="3"/>
      <c r="H12" s="3" t="s">
        <v>21</v>
      </c>
      <c r="I12" s="3">
        <v>18.832745529055899</v>
      </c>
      <c r="J12" s="3">
        <v>2.2822595213955199</v>
      </c>
      <c r="K12" s="3">
        <v>-7.6714820153169397E-2</v>
      </c>
      <c r="L12" s="3">
        <v>0.99685016549227101</v>
      </c>
      <c r="M12" s="3">
        <v>10.914400000000001</v>
      </c>
      <c r="AN12" s="2" t="s">
        <v>215</v>
      </c>
      <c r="AO12">
        <f t="shared" si="0"/>
        <v>85</v>
      </c>
      <c r="AP12" s="2">
        <v>19.577999999999999</v>
      </c>
      <c r="AR12">
        <v>119</v>
      </c>
      <c r="AS12">
        <v>17.575149062748299</v>
      </c>
    </row>
    <row r="13" spans="1:47">
      <c r="A13" s="3" t="s">
        <v>31</v>
      </c>
      <c r="B13" s="3">
        <v>118</v>
      </c>
      <c r="C13" s="3">
        <v>120</v>
      </c>
      <c r="D13" s="3">
        <f t="shared" si="1"/>
        <v>119</v>
      </c>
      <c r="E13" s="3">
        <v>0.35799999999999998</v>
      </c>
      <c r="F13" s="3">
        <v>1.042</v>
      </c>
      <c r="G13" s="3"/>
      <c r="H13" s="3" t="s">
        <v>21</v>
      </c>
      <c r="I13" s="3">
        <v>17.575149062748299</v>
      </c>
      <c r="J13" s="3">
        <v>2.3066443193034001</v>
      </c>
      <c r="K13" s="3">
        <v>-7.1582412367640499E-2</v>
      </c>
      <c r="L13" s="3">
        <v>1.00945467840223</v>
      </c>
      <c r="M13" s="3">
        <v>8.9461999999999993</v>
      </c>
      <c r="AN13" s="7" t="s">
        <v>216</v>
      </c>
      <c r="AO13">
        <f t="shared" si="0"/>
        <v>90</v>
      </c>
      <c r="AP13" s="7">
        <v>19.843</v>
      </c>
      <c r="AR13">
        <v>128.5</v>
      </c>
      <c r="AS13">
        <v>16.577432169272601</v>
      </c>
    </row>
    <row r="14" spans="1:47">
      <c r="A14" s="3" t="s">
        <v>32</v>
      </c>
      <c r="B14" s="3">
        <v>126</v>
      </c>
      <c r="C14" s="3">
        <v>131</v>
      </c>
      <c r="D14" s="3">
        <f t="shared" si="1"/>
        <v>128.5</v>
      </c>
      <c r="E14" s="3">
        <v>0.39</v>
      </c>
      <c r="F14" s="3">
        <v>1.0149999999999999</v>
      </c>
      <c r="G14" s="3"/>
      <c r="H14" s="3" t="s">
        <v>21</v>
      </c>
      <c r="I14" s="3">
        <v>16.577432169272601</v>
      </c>
      <c r="J14" s="3">
        <v>2.1990086277921299</v>
      </c>
      <c r="K14" s="3">
        <v>-9.3163412144735294E-2</v>
      </c>
      <c r="L14" s="3">
        <v>1.0004540812318199</v>
      </c>
      <c r="M14" s="3">
        <v>9.3889999999999993</v>
      </c>
      <c r="AN14" s="2" t="s">
        <v>217</v>
      </c>
      <c r="AO14">
        <f t="shared" si="0"/>
        <v>95</v>
      </c>
      <c r="AP14" s="2">
        <v>21.693999999999999</v>
      </c>
      <c r="AR14">
        <v>140</v>
      </c>
      <c r="AS14">
        <v>17.285767804450401</v>
      </c>
    </row>
    <row r="15" spans="1:47">
      <c r="A15" s="3" t="s">
        <v>33</v>
      </c>
      <c r="B15" s="3">
        <v>139</v>
      </c>
      <c r="C15" s="3">
        <v>141</v>
      </c>
      <c r="D15" s="3">
        <f t="shared" si="1"/>
        <v>140</v>
      </c>
      <c r="E15" s="3">
        <v>0.38700000000000001</v>
      </c>
      <c r="F15" s="3">
        <v>1.083</v>
      </c>
      <c r="G15" s="3"/>
      <c r="H15" s="3" t="s">
        <v>21</v>
      </c>
      <c r="I15" s="3">
        <v>17.285767804450401</v>
      </c>
      <c r="J15" s="3">
        <v>2.4450907490290401</v>
      </c>
      <c r="K15" s="3">
        <v>-7.9020533694505998E-2</v>
      </c>
      <c r="L15" s="3">
        <v>0.99943232567463702</v>
      </c>
      <c r="M15" s="3">
        <v>8.5960999999999999</v>
      </c>
      <c r="AN15" s="7" t="s">
        <v>218</v>
      </c>
      <c r="AO15">
        <f t="shared" si="0"/>
        <v>100</v>
      </c>
      <c r="AP15" s="7">
        <v>20.436</v>
      </c>
      <c r="AR15">
        <v>148.5</v>
      </c>
      <c r="AS15">
        <v>17.846355005090601</v>
      </c>
    </row>
    <row r="16" spans="1:47">
      <c r="A16" s="3" t="s">
        <v>34</v>
      </c>
      <c r="B16" s="3">
        <v>146</v>
      </c>
      <c r="C16" s="3">
        <v>151</v>
      </c>
      <c r="D16" s="3">
        <f t="shared" si="1"/>
        <v>148.5</v>
      </c>
      <c r="E16" s="3">
        <v>0.32700000000000001</v>
      </c>
      <c r="F16" s="3">
        <v>1.046</v>
      </c>
      <c r="G16" s="3"/>
      <c r="H16" s="3" t="s">
        <v>21</v>
      </c>
      <c r="I16" s="3">
        <v>17.846355005090601</v>
      </c>
      <c r="J16" s="3">
        <v>2.5803132090273602</v>
      </c>
      <c r="K16" s="3">
        <v>-3.2600317288121801E-2</v>
      </c>
      <c r="L16" s="3">
        <v>1.0104788873581501</v>
      </c>
      <c r="M16" s="3">
        <v>8.3588000000000005</v>
      </c>
      <c r="AN16" s="2" t="s">
        <v>219</v>
      </c>
      <c r="AO16">
        <f t="shared" si="0"/>
        <v>105</v>
      </c>
      <c r="AP16" s="2">
        <v>20.699000000000002</v>
      </c>
      <c r="AR16">
        <v>161</v>
      </c>
      <c r="AS16">
        <v>17.951953478879599</v>
      </c>
    </row>
    <row r="17" spans="1:45">
      <c r="A17" s="3" t="s">
        <v>35</v>
      </c>
      <c r="B17" s="3">
        <v>160</v>
      </c>
      <c r="C17" s="3">
        <v>162</v>
      </c>
      <c r="D17" s="3">
        <f t="shared" si="1"/>
        <v>161</v>
      </c>
      <c r="E17" s="3">
        <v>0.32900000000000001</v>
      </c>
      <c r="F17" s="3">
        <v>1.0089999999999999</v>
      </c>
      <c r="G17" s="3"/>
      <c r="H17" s="3" t="s">
        <v>21</v>
      </c>
      <c r="I17" s="3">
        <v>17.951953478879599</v>
      </c>
      <c r="J17" s="3">
        <v>2.4236529512711402</v>
      </c>
      <c r="K17" s="3">
        <v>-5.4818498751992198E-2</v>
      </c>
      <c r="L17" s="3">
        <v>1.01170055832478</v>
      </c>
      <c r="M17" s="3">
        <v>9.2222000000000008</v>
      </c>
      <c r="AN17" s="7" t="s">
        <v>220</v>
      </c>
      <c r="AO17">
        <f t="shared" si="0"/>
        <v>110</v>
      </c>
      <c r="AP17" s="7">
        <v>20.236999999999998</v>
      </c>
      <c r="AR17">
        <v>169.5</v>
      </c>
      <c r="AS17">
        <v>17.999076398155001</v>
      </c>
    </row>
    <row r="18" spans="1:45">
      <c r="A18" s="3" t="s">
        <v>36</v>
      </c>
      <c r="B18" s="3">
        <v>168</v>
      </c>
      <c r="C18" s="3">
        <v>171</v>
      </c>
      <c r="D18" s="3">
        <f t="shared" si="1"/>
        <v>169.5</v>
      </c>
      <c r="E18" s="3">
        <v>0.36899999999999999</v>
      </c>
      <c r="F18" s="3">
        <v>1.0109999999999999</v>
      </c>
      <c r="G18" s="3"/>
      <c r="H18" s="3" t="s">
        <v>21</v>
      </c>
      <c r="I18" s="3">
        <v>17.999076398155001</v>
      </c>
      <c r="J18" s="3">
        <v>2.39370692361747</v>
      </c>
      <c r="K18" s="3">
        <v>-5.17706964738383E-2</v>
      </c>
      <c r="L18" s="3">
        <v>1.0191623274750601</v>
      </c>
      <c r="M18" s="3">
        <v>9.3114000000000008</v>
      </c>
      <c r="AN18" s="2" t="s">
        <v>221</v>
      </c>
      <c r="AO18">
        <f t="shared" si="0"/>
        <v>115</v>
      </c>
      <c r="AP18" s="2">
        <v>20.506</v>
      </c>
      <c r="AR18">
        <v>179</v>
      </c>
      <c r="AS18">
        <v>16.9079786890644</v>
      </c>
    </row>
    <row r="19" spans="1:45">
      <c r="A19" s="3" t="s">
        <v>37</v>
      </c>
      <c r="B19" s="3">
        <v>177</v>
      </c>
      <c r="C19" s="3">
        <v>181</v>
      </c>
      <c r="D19" s="3">
        <f t="shared" si="1"/>
        <v>179</v>
      </c>
      <c r="E19" s="3">
        <v>0.39900000000000002</v>
      </c>
      <c r="F19" s="3">
        <v>1.0840000000000001</v>
      </c>
      <c r="G19" s="3"/>
      <c r="H19" s="3" t="s">
        <v>21</v>
      </c>
      <c r="I19" s="3">
        <v>16.9079786890644</v>
      </c>
      <c r="J19" s="3">
        <v>2.2274609159752301</v>
      </c>
      <c r="K19" s="3">
        <v>-6.3481201291984202E-2</v>
      </c>
      <c r="L19" s="3">
        <v>1.0138282204169999</v>
      </c>
      <c r="M19" s="3">
        <v>11.0517</v>
      </c>
      <c r="AN19" s="7" t="s">
        <v>222</v>
      </c>
      <c r="AO19">
        <f t="shared" si="0"/>
        <v>120</v>
      </c>
      <c r="AP19" s="7">
        <v>20.963000000000001</v>
      </c>
      <c r="AR19">
        <v>189</v>
      </c>
      <c r="AS19">
        <v>17.510073671674199</v>
      </c>
    </row>
    <row r="20" spans="1:45">
      <c r="A20" s="3" t="s">
        <v>38</v>
      </c>
      <c r="B20" s="3">
        <v>188</v>
      </c>
      <c r="C20" s="3">
        <v>190</v>
      </c>
      <c r="D20" s="3">
        <f t="shared" si="1"/>
        <v>189</v>
      </c>
      <c r="E20" s="3">
        <v>0.36</v>
      </c>
      <c r="F20" s="3">
        <v>1.052</v>
      </c>
      <c r="G20" s="3"/>
      <c r="H20" s="3" t="s">
        <v>21</v>
      </c>
      <c r="I20" s="3">
        <v>17.510073671674199</v>
      </c>
      <c r="J20" s="3">
        <v>2.2643610047056</v>
      </c>
      <c r="K20" s="3">
        <v>-7.5268185649881206E-2</v>
      </c>
      <c r="L20" s="3">
        <v>1.01477236326517</v>
      </c>
      <c r="M20" s="3">
        <v>10.6897</v>
      </c>
      <c r="AN20" s="2" t="s">
        <v>223</v>
      </c>
      <c r="AO20">
        <f t="shared" si="0"/>
        <v>125</v>
      </c>
      <c r="AP20" s="2">
        <v>20.306000000000001</v>
      </c>
      <c r="AR20">
        <v>199.5</v>
      </c>
      <c r="AS20">
        <v>18.181081929131501</v>
      </c>
    </row>
    <row r="21" spans="1:45">
      <c r="A21" s="3" t="s">
        <v>39</v>
      </c>
      <c r="B21" s="3">
        <v>198</v>
      </c>
      <c r="C21" s="3">
        <v>201</v>
      </c>
      <c r="D21" s="3">
        <f t="shared" si="1"/>
        <v>199.5</v>
      </c>
      <c r="E21" s="3">
        <v>0.36</v>
      </c>
      <c r="F21" s="3">
        <v>1.0029999999999999</v>
      </c>
      <c r="G21" s="3"/>
      <c r="H21" s="3" t="s">
        <v>21</v>
      </c>
      <c r="I21" s="3">
        <v>18.181081929131501</v>
      </c>
      <c r="J21" s="3">
        <v>2.1412764088268901</v>
      </c>
      <c r="K21" s="3">
        <v>-7.8645853944577293E-2</v>
      </c>
      <c r="L21" s="3">
        <v>1.01188890742208</v>
      </c>
      <c r="M21" s="3">
        <v>10.0845</v>
      </c>
      <c r="AN21" s="7" t="s">
        <v>224</v>
      </c>
      <c r="AO21">
        <f t="shared" si="0"/>
        <v>130</v>
      </c>
      <c r="AP21" s="7">
        <v>20.239000000000001</v>
      </c>
      <c r="AR21">
        <v>209</v>
      </c>
      <c r="AS21">
        <v>17.927309772120999</v>
      </c>
    </row>
    <row r="22" spans="1:45">
      <c r="A22" s="3" t="s">
        <v>40</v>
      </c>
      <c r="B22" s="3">
        <v>208</v>
      </c>
      <c r="C22" s="3">
        <v>210</v>
      </c>
      <c r="D22" s="3">
        <f t="shared" si="1"/>
        <v>209</v>
      </c>
      <c r="E22" s="3">
        <v>0.36699999999999999</v>
      </c>
      <c r="F22" s="3">
        <v>1.08</v>
      </c>
      <c r="G22" s="3"/>
      <c r="H22" s="3" t="s">
        <v>21</v>
      </c>
      <c r="I22" s="3">
        <v>17.927309772120999</v>
      </c>
      <c r="J22" s="3">
        <v>2.26842895805683</v>
      </c>
      <c r="K22" s="3">
        <v>-8.9968749758798497E-2</v>
      </c>
      <c r="L22" s="3">
        <v>1.0026838263023099</v>
      </c>
      <c r="M22" s="3">
        <v>13.5007</v>
      </c>
      <c r="AN22" s="2" t="s">
        <v>225</v>
      </c>
      <c r="AO22">
        <f t="shared" si="0"/>
        <v>135</v>
      </c>
      <c r="AP22" s="2">
        <v>18.451000000000001</v>
      </c>
      <c r="AR22">
        <v>218.5</v>
      </c>
      <c r="AS22">
        <v>26.018908805756801</v>
      </c>
    </row>
    <row r="23" spans="1:45">
      <c r="A23" s="3" t="s">
        <v>41</v>
      </c>
      <c r="B23" s="3">
        <v>217</v>
      </c>
      <c r="C23" s="3">
        <v>220</v>
      </c>
      <c r="D23" s="3">
        <f t="shared" si="1"/>
        <v>218.5</v>
      </c>
      <c r="E23" s="3">
        <v>0.34899999999999998</v>
      </c>
      <c r="F23" s="3">
        <v>1.046</v>
      </c>
      <c r="G23" s="3"/>
      <c r="H23" s="3" t="s">
        <v>21</v>
      </c>
      <c r="I23" s="3">
        <v>26.018908805756801</v>
      </c>
      <c r="J23" s="3">
        <v>2.3408288450599102</v>
      </c>
      <c r="K23" s="3">
        <v>-0.111345203340318</v>
      </c>
      <c r="L23" s="3">
        <v>0.99386140063475403</v>
      </c>
      <c r="M23" s="3">
        <v>10.170299999999999</v>
      </c>
      <c r="AN23" s="7" t="s">
        <v>226</v>
      </c>
      <c r="AO23">
        <f t="shared" si="0"/>
        <v>140</v>
      </c>
      <c r="AP23" s="7">
        <v>19.64</v>
      </c>
      <c r="AR23">
        <v>228.5</v>
      </c>
      <c r="AS23">
        <v>26.955359620773699</v>
      </c>
    </row>
    <row r="24" spans="1:45">
      <c r="A24" s="3" t="s">
        <v>42</v>
      </c>
      <c r="B24" s="3">
        <v>227</v>
      </c>
      <c r="C24" s="3">
        <v>230</v>
      </c>
      <c r="D24" s="3">
        <f t="shared" si="1"/>
        <v>228.5</v>
      </c>
      <c r="E24" s="3">
        <v>0.33200000000000002</v>
      </c>
      <c r="F24" s="3">
        <v>1.04</v>
      </c>
      <c r="G24" s="3"/>
      <c r="H24" s="3" t="s">
        <v>21</v>
      </c>
      <c r="I24" s="3">
        <v>26.955359620773699</v>
      </c>
      <c r="J24" s="3">
        <v>2.2665469132248202</v>
      </c>
      <c r="K24" s="3">
        <v>-0.10019359653804601</v>
      </c>
      <c r="L24" s="3">
        <v>0.993692900528516</v>
      </c>
      <c r="M24" s="3">
        <v>13.704499999999999</v>
      </c>
      <c r="AN24" s="2" t="s">
        <v>227</v>
      </c>
      <c r="AO24">
        <f t="shared" si="0"/>
        <v>145</v>
      </c>
      <c r="AP24" s="2">
        <v>22.221</v>
      </c>
      <c r="AR24">
        <v>235</v>
      </c>
      <c r="AS24">
        <v>28.3085349889237</v>
      </c>
    </row>
    <row r="25" spans="1:45">
      <c r="A25" s="3" t="s">
        <v>43</v>
      </c>
      <c r="B25" s="3">
        <v>230</v>
      </c>
      <c r="C25" s="3">
        <v>240</v>
      </c>
      <c r="D25" s="3">
        <f t="shared" si="1"/>
        <v>235</v>
      </c>
      <c r="E25" s="3">
        <v>0.34899999999999998</v>
      </c>
      <c r="F25" s="3">
        <v>1.0329999999999999</v>
      </c>
      <c r="G25" s="3"/>
      <c r="H25" s="3" t="s">
        <v>21</v>
      </c>
      <c r="I25" s="3">
        <v>28.3085349889237</v>
      </c>
      <c r="J25" s="3">
        <v>2.2704508125829999</v>
      </c>
      <c r="K25" s="3">
        <v>-0.11519650862546001</v>
      </c>
      <c r="L25" s="3">
        <v>0.99732887219428701</v>
      </c>
      <c r="M25" s="3">
        <v>9.1252999999999993</v>
      </c>
      <c r="AN25" s="7" t="s">
        <v>228</v>
      </c>
      <c r="AO25">
        <f t="shared" si="0"/>
        <v>150</v>
      </c>
      <c r="AP25" s="7">
        <v>21.161999999999999</v>
      </c>
      <c r="AR25">
        <v>244</v>
      </c>
      <c r="AS25">
        <v>23.7265676601303</v>
      </c>
    </row>
    <row r="26" spans="1:45">
      <c r="A26" s="3" t="s">
        <v>44</v>
      </c>
      <c r="B26" s="3">
        <v>240</v>
      </c>
      <c r="C26" s="3">
        <v>248</v>
      </c>
      <c r="D26" s="3">
        <f t="shared" si="1"/>
        <v>244</v>
      </c>
      <c r="E26" s="3">
        <v>0.307</v>
      </c>
      <c r="F26" s="3">
        <v>1.0449999999999999</v>
      </c>
      <c r="G26" s="3"/>
      <c r="H26" s="3" t="s">
        <v>21</v>
      </c>
      <c r="I26" s="3">
        <v>23.7265676601303</v>
      </c>
      <c r="J26" s="3">
        <v>2.3294562368165002</v>
      </c>
      <c r="K26" s="3">
        <v>-7.0245733705694799E-2</v>
      </c>
      <c r="L26" s="3">
        <v>1.0028338927798</v>
      </c>
      <c r="M26" s="3">
        <v>10.6632</v>
      </c>
      <c r="AN26" s="2" t="s">
        <v>229</v>
      </c>
      <c r="AO26">
        <f t="shared" si="0"/>
        <v>155</v>
      </c>
      <c r="AP26" s="2">
        <v>22.283999999999999</v>
      </c>
      <c r="AR26">
        <v>252.5</v>
      </c>
      <c r="AS26">
        <v>18.567006671791201</v>
      </c>
    </row>
    <row r="27" spans="1:45">
      <c r="A27" s="3" t="s">
        <v>45</v>
      </c>
      <c r="B27" s="3">
        <v>250</v>
      </c>
      <c r="C27" s="3">
        <v>255</v>
      </c>
      <c r="D27" s="3">
        <f t="shared" si="1"/>
        <v>252.5</v>
      </c>
      <c r="E27" s="3">
        <v>0.307</v>
      </c>
      <c r="F27" s="3">
        <v>1.0589999999999999</v>
      </c>
      <c r="G27" s="3"/>
      <c r="H27" s="3" t="s">
        <v>21</v>
      </c>
      <c r="I27" s="3">
        <v>18.567006671791201</v>
      </c>
      <c r="J27" s="3">
        <v>2.2360608620371401</v>
      </c>
      <c r="K27" s="3">
        <v>-7.95946976113594E-2</v>
      </c>
      <c r="L27" s="3">
        <v>1.0143689499749799</v>
      </c>
      <c r="M27" s="3">
        <v>8.6212999999999997</v>
      </c>
      <c r="AN27" s="7" t="s">
        <v>230</v>
      </c>
      <c r="AO27">
        <f t="shared" si="0"/>
        <v>160</v>
      </c>
      <c r="AP27" s="7">
        <v>23.012</v>
      </c>
      <c r="AR27">
        <v>261</v>
      </c>
      <c r="AS27">
        <v>17.761928229897102</v>
      </c>
    </row>
    <row r="28" spans="1:45">
      <c r="A28" s="3" t="s">
        <v>46</v>
      </c>
      <c r="B28" s="3">
        <v>260</v>
      </c>
      <c r="C28" s="3">
        <v>262</v>
      </c>
      <c r="D28" s="3">
        <f t="shared" si="1"/>
        <v>261</v>
      </c>
      <c r="E28" s="3">
        <v>0.30099999999999999</v>
      </c>
      <c r="F28" s="3">
        <v>1.0149999999999999</v>
      </c>
      <c r="G28" s="3" t="s">
        <v>231</v>
      </c>
      <c r="H28" s="3" t="s">
        <v>21</v>
      </c>
      <c r="I28" s="3">
        <v>17.761928229897102</v>
      </c>
      <c r="J28" s="3">
        <v>2.5218204825830401</v>
      </c>
      <c r="K28" s="3">
        <v>-7.8695938404479304E-2</v>
      </c>
      <c r="L28" s="3">
        <v>0.98879169094366604</v>
      </c>
      <c r="M28" s="3">
        <v>8.6237999999999992</v>
      </c>
      <c r="AN28" s="2" t="s">
        <v>232</v>
      </c>
      <c r="AO28">
        <f t="shared" si="0"/>
        <v>165</v>
      </c>
      <c r="AP28" s="2">
        <v>21.292000000000002</v>
      </c>
      <c r="AR28">
        <v>263</v>
      </c>
      <c r="AS28">
        <v>17.386548797664901</v>
      </c>
    </row>
    <row r="29" spans="1:45">
      <c r="A29" s="3" t="s">
        <v>47</v>
      </c>
      <c r="B29" s="3">
        <v>262</v>
      </c>
      <c r="C29" s="3">
        <v>264</v>
      </c>
      <c r="D29" s="3">
        <f t="shared" si="1"/>
        <v>263</v>
      </c>
      <c r="E29" s="3">
        <v>0.32600000000000001</v>
      </c>
      <c r="F29" s="3">
        <v>1.026</v>
      </c>
      <c r="G29" s="3"/>
      <c r="H29" s="3" t="s">
        <v>21</v>
      </c>
      <c r="I29" s="3">
        <v>17.386548797664901</v>
      </c>
      <c r="J29" s="3">
        <v>2.59628840562495</v>
      </c>
      <c r="K29" s="3">
        <v>-7.5749728090656901E-2</v>
      </c>
      <c r="L29" s="3">
        <v>0.98484696370193803</v>
      </c>
      <c r="M29" s="3">
        <v>8.7345000000000006</v>
      </c>
      <c r="AN29" s="7" t="s">
        <v>233</v>
      </c>
      <c r="AO29">
        <f t="shared" si="0"/>
        <v>170</v>
      </c>
      <c r="AP29" s="7">
        <v>21.757000000000001</v>
      </c>
      <c r="AR29">
        <v>271.5</v>
      </c>
      <c r="AS29">
        <v>17.1135913166233</v>
      </c>
    </row>
    <row r="30" spans="1:45">
      <c r="A30" s="3" t="s">
        <v>48</v>
      </c>
      <c r="B30" s="3">
        <v>270</v>
      </c>
      <c r="C30" s="3">
        <v>273</v>
      </c>
      <c r="D30" s="3">
        <f t="shared" si="1"/>
        <v>271.5</v>
      </c>
      <c r="E30" s="3">
        <v>0.33800000000000002</v>
      </c>
      <c r="F30" s="3">
        <v>1.0069999999999999</v>
      </c>
      <c r="G30" s="3"/>
      <c r="H30" s="3" t="s">
        <v>21</v>
      </c>
      <c r="I30" s="3">
        <v>17.1135913166233</v>
      </c>
      <c r="J30" s="3">
        <v>2.2851856528110002</v>
      </c>
      <c r="K30" s="3">
        <v>-6.1710682209617902E-2</v>
      </c>
      <c r="L30" s="3">
        <v>1.00629600880022</v>
      </c>
      <c r="M30" s="3">
        <v>9.6498000000000008</v>
      </c>
      <c r="AN30" s="2" t="s">
        <v>234</v>
      </c>
      <c r="AO30">
        <f t="shared" si="0"/>
        <v>175</v>
      </c>
      <c r="AP30" s="2">
        <v>22.417999999999999</v>
      </c>
      <c r="AR30">
        <v>277.5</v>
      </c>
      <c r="AS30">
        <v>19.209360440614901</v>
      </c>
    </row>
    <row r="31" spans="1:45">
      <c r="A31" s="3" t="s">
        <v>49</v>
      </c>
      <c r="B31" s="3">
        <v>275</v>
      </c>
      <c r="C31" s="3">
        <v>280</v>
      </c>
      <c r="D31" s="3">
        <f t="shared" si="1"/>
        <v>277.5</v>
      </c>
      <c r="E31" s="3">
        <v>0.39800000000000002</v>
      </c>
      <c r="F31" s="3">
        <v>1.081</v>
      </c>
      <c r="G31" s="3" t="s">
        <v>235</v>
      </c>
      <c r="H31" s="3" t="s">
        <v>21</v>
      </c>
      <c r="I31" s="3">
        <v>19.209360440614901</v>
      </c>
      <c r="J31" s="3">
        <v>2.3278268148946402</v>
      </c>
      <c r="K31" s="3">
        <v>-7.9695229104658094E-2</v>
      </c>
      <c r="L31" s="3">
        <v>1.0182885035160001</v>
      </c>
      <c r="M31" s="3">
        <v>9.2571999999999992</v>
      </c>
      <c r="AN31" s="7" t="s">
        <v>236</v>
      </c>
      <c r="AO31">
        <f t="shared" si="0"/>
        <v>180</v>
      </c>
      <c r="AP31" s="7">
        <v>21.23</v>
      </c>
      <c r="AR31">
        <v>285</v>
      </c>
      <c r="AS31">
        <v>17.835453808199698</v>
      </c>
    </row>
    <row r="32" spans="1:45">
      <c r="A32" s="3" t="s">
        <v>50</v>
      </c>
      <c r="B32" s="3">
        <v>280</v>
      </c>
      <c r="C32" s="3">
        <v>290</v>
      </c>
      <c r="D32" s="3">
        <f t="shared" si="1"/>
        <v>285</v>
      </c>
      <c r="E32" s="3">
        <v>0.33700000000000002</v>
      </c>
      <c r="F32" s="3">
        <v>1.0649999999999999</v>
      </c>
      <c r="G32" s="3"/>
      <c r="H32" s="3" t="s">
        <v>21</v>
      </c>
      <c r="I32" s="3">
        <v>17.835453808199698</v>
      </c>
      <c r="J32" s="3">
        <v>2.4066392118497602</v>
      </c>
      <c r="K32" s="3">
        <v>-6.6107824894008196E-2</v>
      </c>
      <c r="L32" s="3">
        <v>1.02204361578598</v>
      </c>
      <c r="M32" s="3">
        <v>8.7111000000000001</v>
      </c>
      <c r="AN32" s="2" t="s">
        <v>237</v>
      </c>
      <c r="AO32">
        <f t="shared" si="0"/>
        <v>185</v>
      </c>
      <c r="AP32" s="2">
        <v>21.033999999999999</v>
      </c>
      <c r="AR32">
        <v>292.5</v>
      </c>
      <c r="AS32">
        <v>16.8737598219336</v>
      </c>
    </row>
    <row r="33" spans="1:45">
      <c r="A33" s="3" t="s">
        <v>51</v>
      </c>
      <c r="B33" s="3">
        <v>290</v>
      </c>
      <c r="C33" s="3">
        <v>295</v>
      </c>
      <c r="D33" s="3">
        <f t="shared" si="1"/>
        <v>292.5</v>
      </c>
      <c r="E33" s="3">
        <v>0.36699999999999999</v>
      </c>
      <c r="F33" s="3">
        <v>1.022</v>
      </c>
      <c r="G33" s="3"/>
      <c r="H33" s="3" t="s">
        <v>21</v>
      </c>
      <c r="I33" s="3">
        <v>16.8737598219336</v>
      </c>
      <c r="J33" s="3">
        <v>2.5065541490858299</v>
      </c>
      <c r="K33" s="3">
        <v>-4.8258610043922998E-2</v>
      </c>
      <c r="L33" s="3">
        <v>1.0111634873556901</v>
      </c>
      <c r="M33" s="3">
        <v>8.5368999999999993</v>
      </c>
      <c r="AN33" s="7" t="s">
        <v>238</v>
      </c>
      <c r="AO33">
        <f t="shared" si="0"/>
        <v>190</v>
      </c>
      <c r="AP33" s="7">
        <v>20.835000000000001</v>
      </c>
      <c r="AR33">
        <v>297.5</v>
      </c>
      <c r="AS33">
        <v>17.919794961969199</v>
      </c>
    </row>
    <row r="34" spans="1:45">
      <c r="A34" s="3" t="s">
        <v>52</v>
      </c>
      <c r="B34" s="3">
        <v>295</v>
      </c>
      <c r="C34" s="3">
        <v>300</v>
      </c>
      <c r="D34" s="3">
        <f t="shared" si="1"/>
        <v>297.5</v>
      </c>
      <c r="E34" s="3">
        <v>0.371</v>
      </c>
      <c r="F34" s="3">
        <v>1.03</v>
      </c>
      <c r="G34" s="3"/>
      <c r="H34" s="3" t="s">
        <v>21</v>
      </c>
      <c r="I34" s="3">
        <v>17.919794961969199</v>
      </c>
      <c r="J34" s="3">
        <v>2.4517993699717602</v>
      </c>
      <c r="K34" s="3">
        <v>-3.7918701471741097E-2</v>
      </c>
      <c r="L34" s="3">
        <v>1.0461481347036099</v>
      </c>
      <c r="M34" s="3">
        <v>8.8086000000000002</v>
      </c>
      <c r="AN34" s="2" t="s">
        <v>239</v>
      </c>
      <c r="AO34">
        <f t="shared" si="0"/>
        <v>195</v>
      </c>
      <c r="AP34" s="2">
        <v>22.088000000000001</v>
      </c>
      <c r="AR34">
        <v>301</v>
      </c>
      <c r="AS34">
        <v>16.365133790244801</v>
      </c>
    </row>
    <row r="35" spans="1:45">
      <c r="A35" s="3" t="s">
        <v>53</v>
      </c>
      <c r="B35" s="3">
        <v>300</v>
      </c>
      <c r="C35" s="3">
        <v>302</v>
      </c>
      <c r="D35" s="3">
        <f t="shared" si="1"/>
        <v>301</v>
      </c>
      <c r="E35" s="3">
        <v>0.36299999999999999</v>
      </c>
      <c r="F35" s="3">
        <v>1.034</v>
      </c>
      <c r="G35" s="3" t="s">
        <v>240</v>
      </c>
      <c r="H35" s="3" t="s">
        <v>21</v>
      </c>
      <c r="I35" s="3">
        <v>16.365133790244801</v>
      </c>
      <c r="J35" s="3">
        <v>2.4668971293855502</v>
      </c>
      <c r="K35" s="3">
        <v>-4.2948575767359901E-2</v>
      </c>
      <c r="L35" s="3">
        <v>1.0114777655566001</v>
      </c>
      <c r="M35" s="3">
        <v>9.1929999999999996</v>
      </c>
      <c r="AN35" s="7" t="s">
        <v>241</v>
      </c>
      <c r="AO35">
        <f t="shared" si="0"/>
        <v>200</v>
      </c>
      <c r="AP35" s="7">
        <v>24.338999999999999</v>
      </c>
      <c r="AR35">
        <v>303</v>
      </c>
      <c r="AS35">
        <v>16.4739861998012</v>
      </c>
    </row>
    <row r="36" spans="1:45">
      <c r="A36" s="3" t="s">
        <v>54</v>
      </c>
      <c r="B36" s="3">
        <v>302</v>
      </c>
      <c r="C36" s="3">
        <v>304</v>
      </c>
      <c r="D36" s="3">
        <f t="shared" si="1"/>
        <v>303</v>
      </c>
      <c r="E36" s="3">
        <v>0.38900000000000001</v>
      </c>
      <c r="F36" s="3">
        <v>1.014</v>
      </c>
      <c r="G36" s="3"/>
      <c r="H36" s="3" t="s">
        <v>21</v>
      </c>
      <c r="I36" s="3">
        <v>16.4739861998012</v>
      </c>
      <c r="J36" s="3">
        <v>2.4849331094734999</v>
      </c>
      <c r="K36" s="3">
        <v>-3.58238858077062E-2</v>
      </c>
      <c r="L36" s="3">
        <v>1.0164831671897101</v>
      </c>
      <c r="M36" s="3">
        <v>10.214700000000001</v>
      </c>
      <c r="AN36" s="2" t="s">
        <v>242</v>
      </c>
      <c r="AO36">
        <f t="shared" si="0"/>
        <v>205</v>
      </c>
      <c r="AP36" s="2">
        <v>24.407</v>
      </c>
      <c r="AR36">
        <v>305</v>
      </c>
      <c r="AS36">
        <v>16.541561485392101</v>
      </c>
    </row>
    <row r="37" spans="1:45">
      <c r="A37" s="3" t="s">
        <v>55</v>
      </c>
      <c r="B37" s="3">
        <v>304</v>
      </c>
      <c r="C37" s="3">
        <v>306</v>
      </c>
      <c r="D37" s="3">
        <f t="shared" si="1"/>
        <v>305</v>
      </c>
      <c r="E37" s="3">
        <v>0.34</v>
      </c>
      <c r="F37" s="3">
        <v>1.069</v>
      </c>
      <c r="G37" s="3"/>
      <c r="H37" s="3" t="s">
        <v>21</v>
      </c>
      <c r="I37" s="3">
        <v>16.541561485392101</v>
      </c>
      <c r="J37" s="3">
        <v>2.4802326104720498</v>
      </c>
      <c r="K37" s="3">
        <v>-4.5679248523573801E-2</v>
      </c>
      <c r="L37" s="3">
        <v>1.01274876438547</v>
      </c>
      <c r="M37" s="3">
        <v>9.7715999999999994</v>
      </c>
      <c r="AN37" s="7" t="s">
        <v>243</v>
      </c>
      <c r="AO37">
        <f t="shared" si="0"/>
        <v>210</v>
      </c>
      <c r="AP37" s="7">
        <v>23.876000000000001</v>
      </c>
      <c r="AR37">
        <v>308</v>
      </c>
      <c r="AS37">
        <v>16.449059750825299</v>
      </c>
    </row>
    <row r="38" spans="1:45">
      <c r="A38" s="3" t="s">
        <v>56</v>
      </c>
      <c r="B38" s="3">
        <v>306</v>
      </c>
      <c r="C38" s="3">
        <v>310</v>
      </c>
      <c r="D38" s="3">
        <f t="shared" si="1"/>
        <v>308</v>
      </c>
      <c r="E38" s="3">
        <v>0.36799999999999999</v>
      </c>
      <c r="F38" s="3">
        <v>1.069</v>
      </c>
      <c r="G38" s="3"/>
      <c r="H38" s="3" t="s">
        <v>21</v>
      </c>
      <c r="I38" s="3">
        <v>16.449059750825299</v>
      </c>
      <c r="J38" s="3">
        <v>2.4499611276926001</v>
      </c>
      <c r="K38" s="3">
        <v>-3.7999454214445498E-2</v>
      </c>
      <c r="L38" s="3">
        <v>1.0131103609471499</v>
      </c>
      <c r="M38" s="3">
        <v>10.1396</v>
      </c>
      <c r="AN38" s="2" t="s">
        <v>244</v>
      </c>
      <c r="AO38">
        <f t="shared" si="0"/>
        <v>215</v>
      </c>
      <c r="AP38" s="2">
        <v>22.552</v>
      </c>
      <c r="AR38">
        <v>312.5</v>
      </c>
      <c r="AS38">
        <v>17.0722574413128</v>
      </c>
    </row>
    <row r="39" spans="1:45">
      <c r="A39" s="3" t="s">
        <v>57</v>
      </c>
      <c r="B39" s="3">
        <v>310</v>
      </c>
      <c r="C39" s="3">
        <v>315</v>
      </c>
      <c r="D39" s="3">
        <f t="shared" si="1"/>
        <v>312.5</v>
      </c>
      <c r="E39" s="3">
        <v>0.32400000000000001</v>
      </c>
      <c r="F39" s="3">
        <v>1.0369999999999999</v>
      </c>
      <c r="G39" s="3" t="s">
        <v>245</v>
      </c>
      <c r="H39" s="3" t="s">
        <v>21</v>
      </c>
      <c r="I39" s="3">
        <v>17.0722574413128</v>
      </c>
      <c r="J39" s="3">
        <v>2.2391593031900001</v>
      </c>
      <c r="K39" s="3">
        <v>-4.2443737782741499E-2</v>
      </c>
      <c r="L39" s="3">
        <v>1.0111208646492</v>
      </c>
      <c r="M39" s="3">
        <v>10.236499999999999</v>
      </c>
      <c r="AN39" s="7" t="s">
        <v>246</v>
      </c>
      <c r="AO39">
        <f t="shared" si="0"/>
        <v>220</v>
      </c>
      <c r="AP39" s="7">
        <v>23.806999999999999</v>
      </c>
      <c r="AR39">
        <v>317.5</v>
      </c>
      <c r="AS39">
        <v>18.081395551572701</v>
      </c>
    </row>
    <row r="40" spans="1:45">
      <c r="A40" s="3" t="s">
        <v>58</v>
      </c>
      <c r="B40" s="3">
        <v>315</v>
      </c>
      <c r="C40" s="3">
        <v>320</v>
      </c>
      <c r="D40" s="3">
        <f t="shared" si="1"/>
        <v>317.5</v>
      </c>
      <c r="E40" s="3">
        <v>0.372</v>
      </c>
      <c r="F40" s="3">
        <v>1.0660000000000001</v>
      </c>
      <c r="G40" s="3"/>
      <c r="H40" s="3" t="s">
        <v>21</v>
      </c>
      <c r="I40" s="3">
        <v>18.081395551572701</v>
      </c>
      <c r="J40" s="3">
        <v>2.24038993248625</v>
      </c>
      <c r="K40" s="3">
        <v>-9.3047047407035996E-2</v>
      </c>
      <c r="L40" s="3">
        <v>1.01175195568537</v>
      </c>
      <c r="M40" s="3">
        <v>10.541499999999999</v>
      </c>
      <c r="AN40" s="2" t="s">
        <v>247</v>
      </c>
      <c r="AO40">
        <f t="shared" si="0"/>
        <v>225</v>
      </c>
      <c r="AP40" s="2">
        <v>18.056000000000001</v>
      </c>
      <c r="AR40">
        <v>322.5</v>
      </c>
      <c r="AS40">
        <v>17.9247475695886</v>
      </c>
    </row>
    <row r="41" spans="1:45">
      <c r="A41" s="3" t="s">
        <v>59</v>
      </c>
      <c r="B41" s="3">
        <v>320</v>
      </c>
      <c r="C41" s="3">
        <v>325</v>
      </c>
      <c r="D41" s="3">
        <f t="shared" si="1"/>
        <v>322.5</v>
      </c>
      <c r="E41" s="3">
        <v>0.33</v>
      </c>
      <c r="F41" s="3">
        <v>1.0449999999999999</v>
      </c>
      <c r="G41" s="3"/>
      <c r="H41" s="3" t="s">
        <v>21</v>
      </c>
      <c r="I41" s="3">
        <v>17.9247475695886</v>
      </c>
      <c r="J41" s="3">
        <v>2.9409043170345499</v>
      </c>
      <c r="K41" s="3">
        <v>-1.36445147806349E-2</v>
      </c>
      <c r="L41" s="3">
        <v>1.0120736023093</v>
      </c>
      <c r="M41" s="3">
        <v>10.3469</v>
      </c>
      <c r="AN41" s="7" t="s">
        <v>248</v>
      </c>
      <c r="AO41">
        <f t="shared" si="0"/>
        <v>230</v>
      </c>
      <c r="AP41" s="7">
        <v>18.782</v>
      </c>
      <c r="AR41">
        <v>327.5</v>
      </c>
      <c r="AS41">
        <v>15.436732894972801</v>
      </c>
    </row>
    <row r="42" spans="1:45">
      <c r="A42" s="3" t="s">
        <v>60</v>
      </c>
      <c r="B42" s="3">
        <v>325</v>
      </c>
      <c r="C42" s="3">
        <v>330</v>
      </c>
      <c r="D42" s="3">
        <f t="shared" si="1"/>
        <v>327.5</v>
      </c>
      <c r="E42" s="3">
        <v>0.315</v>
      </c>
      <c r="F42" s="3">
        <v>1.0649999999999999</v>
      </c>
      <c r="G42" s="3"/>
      <c r="H42" s="3" t="s">
        <v>21</v>
      </c>
      <c r="I42" s="3">
        <v>15.436732894972801</v>
      </c>
      <c r="J42" s="3">
        <v>2.66053946387908</v>
      </c>
      <c r="K42" s="3">
        <v>-6.8318475142972998E-2</v>
      </c>
      <c r="L42" s="3">
        <v>0.95153757408058803</v>
      </c>
      <c r="M42" s="3">
        <v>8.3813999999999993</v>
      </c>
      <c r="AN42" s="2" t="s">
        <v>249</v>
      </c>
      <c r="AO42">
        <f t="shared" si="0"/>
        <v>235</v>
      </c>
      <c r="AP42" s="2">
        <v>19.771999999999998</v>
      </c>
      <c r="AR42">
        <v>332.5</v>
      </c>
      <c r="AS42">
        <v>15.8515297647137</v>
      </c>
    </row>
    <row r="43" spans="1:45">
      <c r="A43" s="3" t="s">
        <v>61</v>
      </c>
      <c r="B43" s="3">
        <v>330</v>
      </c>
      <c r="C43" s="3">
        <v>335</v>
      </c>
      <c r="D43" s="3">
        <f t="shared" si="1"/>
        <v>332.5</v>
      </c>
      <c r="E43" s="3">
        <v>0.34</v>
      </c>
      <c r="F43" s="3">
        <v>1.0109999999999999</v>
      </c>
      <c r="G43" s="3"/>
      <c r="H43" s="3" t="s">
        <v>21</v>
      </c>
      <c r="I43" s="3">
        <v>15.8515297647137</v>
      </c>
      <c r="J43" s="3">
        <v>2.67529886711888</v>
      </c>
      <c r="K43" s="3">
        <v>-6.4198705874989603E-2</v>
      </c>
      <c r="L43" s="3">
        <v>0.95939884546548104</v>
      </c>
      <c r="M43" s="3">
        <v>8.6341999999999999</v>
      </c>
      <c r="AN43" s="7" t="s">
        <v>250</v>
      </c>
      <c r="AO43">
        <f t="shared" si="0"/>
        <v>240</v>
      </c>
      <c r="AP43" s="7">
        <v>18.056999999999999</v>
      </c>
      <c r="AR43">
        <v>339</v>
      </c>
      <c r="AS43">
        <v>16.583759568014699</v>
      </c>
    </row>
    <row r="44" spans="1:45">
      <c r="A44" s="3" t="s">
        <v>62</v>
      </c>
      <c r="B44" s="3">
        <v>335</v>
      </c>
      <c r="C44" s="3">
        <v>343</v>
      </c>
      <c r="D44" s="3">
        <f t="shared" si="1"/>
        <v>339</v>
      </c>
      <c r="E44" s="3">
        <v>0.318</v>
      </c>
      <c r="F44" s="3">
        <v>1.0549999999999999</v>
      </c>
      <c r="G44" s="3"/>
      <c r="H44" s="3" t="s">
        <v>21</v>
      </c>
      <c r="I44" s="3">
        <v>16.583759568014699</v>
      </c>
      <c r="J44" s="3">
        <v>2.9098701770152702</v>
      </c>
      <c r="K44" s="3">
        <v>-1.9338864644017101E-2</v>
      </c>
      <c r="L44" s="3">
        <v>0.95387111711293404</v>
      </c>
      <c r="M44" s="3">
        <v>8.7824000000000009</v>
      </c>
      <c r="AN44" s="2" t="s">
        <v>251</v>
      </c>
      <c r="AO44">
        <f t="shared" si="0"/>
        <v>245</v>
      </c>
      <c r="AP44" s="2">
        <v>18.056000000000001</v>
      </c>
      <c r="AR44">
        <v>346.5</v>
      </c>
      <c r="AS44">
        <v>16.612925409924401</v>
      </c>
    </row>
    <row r="45" spans="1:45">
      <c r="A45" s="3" t="s">
        <v>63</v>
      </c>
      <c r="B45" s="3">
        <v>343</v>
      </c>
      <c r="C45" s="3">
        <v>350</v>
      </c>
      <c r="D45" s="3">
        <f t="shared" si="1"/>
        <v>346.5</v>
      </c>
      <c r="E45" s="3">
        <v>0.36199999999999999</v>
      </c>
      <c r="F45" s="3">
        <v>1.091</v>
      </c>
      <c r="G45" s="3"/>
      <c r="H45" s="3" t="s">
        <v>21</v>
      </c>
      <c r="I45" s="3">
        <v>16.612925409924401</v>
      </c>
      <c r="J45" s="3">
        <v>2.7461037805296802</v>
      </c>
      <c r="K45" s="3">
        <v>-5.4802121538377199E-2</v>
      </c>
      <c r="L45" s="3">
        <v>0.95750376160041495</v>
      </c>
      <c r="M45" s="3">
        <v>8.4174000000000007</v>
      </c>
      <c r="AN45" s="7" t="s">
        <v>252</v>
      </c>
      <c r="AO45">
        <f t="shared" si="0"/>
        <v>250</v>
      </c>
      <c r="AP45" s="7">
        <v>16.27</v>
      </c>
      <c r="AR45">
        <v>352.5</v>
      </c>
      <c r="AS45">
        <v>15.8974828916724</v>
      </c>
    </row>
    <row r="46" spans="1:45">
      <c r="A46" s="3" t="s">
        <v>64</v>
      </c>
      <c r="B46" s="3">
        <v>350</v>
      </c>
      <c r="C46" s="3">
        <v>355</v>
      </c>
      <c r="D46" s="3">
        <f t="shared" si="1"/>
        <v>352.5</v>
      </c>
      <c r="E46" s="3">
        <v>0.372</v>
      </c>
      <c r="F46" s="3">
        <v>1.0620000000000001</v>
      </c>
      <c r="G46" s="3"/>
      <c r="H46" s="3" t="s">
        <v>21</v>
      </c>
      <c r="I46" s="3">
        <v>15.8974828916724</v>
      </c>
      <c r="J46" s="3">
        <v>2.5733192601130401</v>
      </c>
      <c r="K46" s="3">
        <v>-6.3853679454542595E-2</v>
      </c>
      <c r="L46" s="3">
        <v>0.984884430365777</v>
      </c>
      <c r="M46" s="3">
        <v>8.7095000000000002</v>
      </c>
      <c r="AN46" s="2" t="s">
        <v>253</v>
      </c>
      <c r="AO46">
        <f t="shared" si="0"/>
        <v>255</v>
      </c>
      <c r="AP46" s="2">
        <v>17.260000000000002</v>
      </c>
      <c r="AR46">
        <v>362.5</v>
      </c>
      <c r="AS46">
        <v>15.711580065143201</v>
      </c>
    </row>
    <row r="47" spans="1:45">
      <c r="A47" s="3" t="s">
        <v>65</v>
      </c>
      <c r="B47" s="3">
        <v>360</v>
      </c>
      <c r="C47" s="3">
        <v>365</v>
      </c>
      <c r="D47" s="3">
        <f t="shared" si="1"/>
        <v>362.5</v>
      </c>
      <c r="E47" s="3">
        <v>0.31</v>
      </c>
      <c r="F47" s="3">
        <v>1.03</v>
      </c>
      <c r="G47" s="3"/>
      <c r="H47" s="3" t="s">
        <v>21</v>
      </c>
      <c r="I47" s="3">
        <v>15.711580065143201</v>
      </c>
      <c r="J47" s="3">
        <v>2.7149297785298399</v>
      </c>
      <c r="K47" s="3">
        <v>-4.3342130870615801E-2</v>
      </c>
      <c r="L47" s="3">
        <v>0.95600511795394905</v>
      </c>
      <c r="M47" s="3">
        <v>8.6585000000000001</v>
      </c>
      <c r="AN47" s="7" t="s">
        <v>254</v>
      </c>
      <c r="AO47">
        <f t="shared" si="0"/>
        <v>260</v>
      </c>
      <c r="AP47" s="7">
        <v>20.565999999999999</v>
      </c>
      <c r="AR47">
        <v>366.5</v>
      </c>
      <c r="AS47">
        <v>16.5018926722027</v>
      </c>
    </row>
    <row r="48" spans="1:45">
      <c r="A48" s="3" t="s">
        <v>66</v>
      </c>
      <c r="B48" s="3">
        <v>365</v>
      </c>
      <c r="C48" s="3">
        <v>368</v>
      </c>
      <c r="D48" s="3">
        <f t="shared" si="1"/>
        <v>366.5</v>
      </c>
      <c r="E48" s="3">
        <v>0.38200000000000001</v>
      </c>
      <c r="F48" s="3">
        <v>1.0589999999999999</v>
      </c>
      <c r="G48" s="3"/>
      <c r="H48" s="3" t="s">
        <v>21</v>
      </c>
      <c r="I48" s="3">
        <v>16.5018926722027</v>
      </c>
      <c r="J48" s="3">
        <v>2.6452460941292499</v>
      </c>
      <c r="K48" s="3">
        <v>-5.2252051022221399E-2</v>
      </c>
      <c r="L48" s="3">
        <v>0.97839046413389497</v>
      </c>
      <c r="M48" s="3">
        <v>6.6138000000000003</v>
      </c>
      <c r="AN48" s="2" t="s">
        <v>255</v>
      </c>
      <c r="AO48">
        <f t="shared" si="0"/>
        <v>265</v>
      </c>
      <c r="AP48" s="2">
        <v>21.690999999999999</v>
      </c>
      <c r="AR48">
        <v>369.5</v>
      </c>
      <c r="AS48">
        <v>16.755152874798899</v>
      </c>
    </row>
    <row r="49" spans="1:46">
      <c r="A49" s="3" t="s">
        <v>67</v>
      </c>
      <c r="B49" s="3">
        <v>368</v>
      </c>
      <c r="C49" s="3">
        <v>371</v>
      </c>
      <c r="D49" s="3">
        <f t="shared" si="1"/>
        <v>369.5</v>
      </c>
      <c r="E49" s="3">
        <v>0.34100000000000003</v>
      </c>
      <c r="F49" s="3">
        <v>1.093</v>
      </c>
      <c r="G49" s="3"/>
      <c r="H49" s="3" t="s">
        <v>21</v>
      </c>
      <c r="I49" s="3">
        <v>16.755152874798899</v>
      </c>
      <c r="J49" s="3">
        <v>2.5263380451174702</v>
      </c>
      <c r="K49" s="3">
        <v>-6.8034457477024204E-2</v>
      </c>
      <c r="L49" s="3">
        <v>0.97838336114312996</v>
      </c>
      <c r="M49" s="3">
        <v>7.7596999999999996</v>
      </c>
      <c r="AN49" s="7" t="s">
        <v>256</v>
      </c>
      <c r="AO49">
        <f t="shared" si="0"/>
        <v>270</v>
      </c>
      <c r="AP49" s="7">
        <v>21.759</v>
      </c>
      <c r="AR49">
        <v>375.5</v>
      </c>
      <c r="AS49">
        <v>17.115442564463098</v>
      </c>
    </row>
    <row r="50" spans="1:46">
      <c r="A50" s="3" t="s">
        <v>68</v>
      </c>
      <c r="B50" s="3">
        <v>371</v>
      </c>
      <c r="C50" s="3">
        <v>380</v>
      </c>
      <c r="D50" s="3">
        <f t="shared" si="1"/>
        <v>375.5</v>
      </c>
      <c r="E50" s="3">
        <v>0.36799999999999999</v>
      </c>
      <c r="F50" s="3">
        <v>1.0629999999999999</v>
      </c>
      <c r="G50" s="3"/>
      <c r="H50" s="3" t="s">
        <v>21</v>
      </c>
      <c r="I50" s="3">
        <v>17.115442564463098</v>
      </c>
      <c r="J50" s="3">
        <v>2.67676978126023</v>
      </c>
      <c r="K50" s="3">
        <v>-5.6967376618064003E-2</v>
      </c>
      <c r="L50" s="3">
        <v>0.97192815576800395</v>
      </c>
      <c r="M50" s="3">
        <v>8.2583000000000002</v>
      </c>
      <c r="AN50" s="2" t="s">
        <v>257</v>
      </c>
      <c r="AO50">
        <f t="shared" si="0"/>
        <v>275</v>
      </c>
      <c r="AP50" s="2">
        <v>20.236000000000001</v>
      </c>
      <c r="AR50">
        <v>381.5</v>
      </c>
      <c r="AS50">
        <v>17.3996114514133</v>
      </c>
    </row>
    <row r="51" spans="1:46">
      <c r="A51" s="3" t="s">
        <v>69</v>
      </c>
      <c r="B51" s="3">
        <v>380</v>
      </c>
      <c r="C51" s="3">
        <v>383</v>
      </c>
      <c r="D51" s="3">
        <f t="shared" si="1"/>
        <v>381.5</v>
      </c>
      <c r="E51" s="3">
        <v>0.30399999999999999</v>
      </c>
      <c r="F51" s="3">
        <v>1.0269999999999999</v>
      </c>
      <c r="G51" s="3"/>
      <c r="H51" s="3" t="s">
        <v>21</v>
      </c>
      <c r="I51" s="3">
        <v>17.3996114514133</v>
      </c>
      <c r="J51" s="3">
        <v>2.69068749001298</v>
      </c>
      <c r="K51" s="3">
        <v>-5.6753750269026799E-2</v>
      </c>
      <c r="L51" s="3">
        <v>0.98015679557826196</v>
      </c>
      <c r="M51" s="3">
        <v>8.8497000000000003</v>
      </c>
      <c r="AN51" s="7" t="s">
        <v>258</v>
      </c>
      <c r="AO51">
        <f t="shared" si="0"/>
        <v>280</v>
      </c>
      <c r="AP51" s="7">
        <v>16.931000000000001</v>
      </c>
      <c r="AR51">
        <v>384.5</v>
      </c>
      <c r="AS51">
        <v>17.3398324454826</v>
      </c>
    </row>
    <row r="52" spans="1:46">
      <c r="A52" s="3" t="s">
        <v>70</v>
      </c>
      <c r="B52" s="3">
        <v>383</v>
      </c>
      <c r="C52" s="3">
        <v>386</v>
      </c>
      <c r="D52" s="3">
        <f t="shared" si="1"/>
        <v>384.5</v>
      </c>
      <c r="E52" s="3">
        <v>0.33100000000000002</v>
      </c>
      <c r="F52" s="3">
        <v>1</v>
      </c>
      <c r="G52" s="3"/>
      <c r="H52" s="3" t="s">
        <v>21</v>
      </c>
      <c r="I52" s="3">
        <v>17.3398324454826</v>
      </c>
      <c r="J52" s="3">
        <v>2.6335857527278699</v>
      </c>
      <c r="K52" s="3">
        <v>-5.3139451564592897E-2</v>
      </c>
      <c r="L52" s="3">
        <v>0.99544718731651305</v>
      </c>
      <c r="M52" s="3">
        <v>8.6887000000000008</v>
      </c>
      <c r="AN52" s="2" t="s">
        <v>259</v>
      </c>
      <c r="AO52">
        <f t="shared" si="0"/>
        <v>285</v>
      </c>
      <c r="AP52" s="2">
        <v>17.327999999999999</v>
      </c>
      <c r="AR52">
        <v>388</v>
      </c>
      <c r="AS52">
        <v>16.940258792307802</v>
      </c>
    </row>
    <row r="53" spans="1:46">
      <c r="A53" s="3" t="s">
        <v>71</v>
      </c>
      <c r="B53" s="3">
        <v>386</v>
      </c>
      <c r="C53" s="3">
        <v>390</v>
      </c>
      <c r="D53" s="3">
        <f t="shared" si="1"/>
        <v>388</v>
      </c>
      <c r="E53" s="3">
        <v>0.34</v>
      </c>
      <c r="F53" s="3">
        <v>1.018</v>
      </c>
      <c r="G53" s="3"/>
      <c r="H53" s="3" t="s">
        <v>21</v>
      </c>
      <c r="I53" s="3">
        <v>16.940258792307802</v>
      </c>
      <c r="J53" s="3">
        <v>2.4635326709811398</v>
      </c>
      <c r="K53" s="3">
        <v>-7.3112605927879201E-2</v>
      </c>
      <c r="L53" s="3">
        <v>0.99510236491085802</v>
      </c>
      <c r="M53" s="3"/>
      <c r="AN53" s="7" t="s">
        <v>260</v>
      </c>
      <c r="AO53">
        <f t="shared" si="0"/>
        <v>290</v>
      </c>
      <c r="AP53" s="7">
        <v>18.187999999999999</v>
      </c>
      <c r="AR53">
        <v>391.5</v>
      </c>
      <c r="AT53">
        <v>16.3957008847038</v>
      </c>
    </row>
    <row r="54" spans="1:46">
      <c r="A54" s="3" t="s">
        <v>72</v>
      </c>
      <c r="B54" s="3">
        <v>390</v>
      </c>
      <c r="C54" s="3">
        <v>393</v>
      </c>
      <c r="D54" s="3">
        <f t="shared" si="1"/>
        <v>391.5</v>
      </c>
      <c r="E54" s="3">
        <v>0.38700000000000001</v>
      </c>
      <c r="F54" s="3">
        <v>1.05</v>
      </c>
      <c r="G54" s="3"/>
      <c r="H54" s="3" t="s">
        <v>73</v>
      </c>
      <c r="I54" s="3">
        <v>16.3957008847038</v>
      </c>
      <c r="J54" s="3">
        <v>2.4028268564569202</v>
      </c>
      <c r="K54" s="3">
        <v>-7.6936787662569894E-2</v>
      </c>
      <c r="L54" s="3">
        <v>0.98857169184564997</v>
      </c>
      <c r="M54" s="3"/>
      <c r="AN54" s="2" t="s">
        <v>261</v>
      </c>
      <c r="AO54">
        <f t="shared" si="0"/>
        <v>295</v>
      </c>
      <c r="AP54" s="2">
        <v>20.565999999999999</v>
      </c>
      <c r="AR54">
        <v>397.5</v>
      </c>
      <c r="AT54">
        <v>16.454886994423401</v>
      </c>
    </row>
    <row r="55" spans="1:46">
      <c r="A55" s="3" t="s">
        <v>74</v>
      </c>
      <c r="B55" s="3">
        <v>395</v>
      </c>
      <c r="C55" s="3">
        <v>400</v>
      </c>
      <c r="D55" s="3">
        <f t="shared" si="1"/>
        <v>397.5</v>
      </c>
      <c r="E55" s="3">
        <v>0.307</v>
      </c>
      <c r="F55" s="3">
        <v>1.0580000000000001</v>
      </c>
      <c r="G55" s="3"/>
      <c r="H55" s="3" t="s">
        <v>73</v>
      </c>
      <c r="I55" s="3">
        <v>16.454886994423401</v>
      </c>
      <c r="J55" s="3">
        <v>2.6766375587540998</v>
      </c>
      <c r="K55" s="3">
        <v>-6.5131034166713495E-2</v>
      </c>
      <c r="L55" s="3">
        <v>0.96670273516183802</v>
      </c>
      <c r="M55" s="3"/>
      <c r="AN55" s="7" t="s">
        <v>262</v>
      </c>
      <c r="AO55">
        <f t="shared" si="0"/>
        <v>300</v>
      </c>
      <c r="AP55" s="7">
        <v>20.373999999999999</v>
      </c>
      <c r="AR55">
        <v>404</v>
      </c>
      <c r="AT55">
        <v>16.7437508754231</v>
      </c>
    </row>
    <row r="56" spans="1:46">
      <c r="A56" s="3" t="s">
        <v>75</v>
      </c>
      <c r="B56" s="3">
        <v>402</v>
      </c>
      <c r="C56" s="3">
        <v>406</v>
      </c>
      <c r="D56" s="3">
        <f t="shared" si="1"/>
        <v>404</v>
      </c>
      <c r="E56" s="3">
        <v>0.38700000000000001</v>
      </c>
      <c r="F56" s="3">
        <v>1.0209999999999999</v>
      </c>
      <c r="G56" s="3" t="s">
        <v>235</v>
      </c>
      <c r="H56" s="3" t="s">
        <v>73</v>
      </c>
      <c r="I56" s="3">
        <v>16.7437508754231</v>
      </c>
      <c r="J56" s="3">
        <v>2.63801678688362</v>
      </c>
      <c r="K56" s="3">
        <v>-6.3703607362605705E-2</v>
      </c>
      <c r="L56" s="3">
        <v>0.98509213841811005</v>
      </c>
      <c r="M56" s="3"/>
      <c r="AN56" s="2" t="s">
        <v>263</v>
      </c>
      <c r="AO56">
        <f t="shared" si="0"/>
        <v>305</v>
      </c>
      <c r="AP56" s="2">
        <v>20.504000000000001</v>
      </c>
      <c r="AR56">
        <v>414</v>
      </c>
      <c r="AT56">
        <v>17.698277489199601</v>
      </c>
    </row>
    <row r="57" spans="1:46">
      <c r="A57" s="3" t="s">
        <v>76</v>
      </c>
      <c r="B57" s="3">
        <v>412</v>
      </c>
      <c r="C57" s="3">
        <v>416</v>
      </c>
      <c r="D57" s="3">
        <f t="shared" si="1"/>
        <v>414</v>
      </c>
      <c r="E57" s="3">
        <v>0.372</v>
      </c>
      <c r="F57" s="3">
        <v>1.093</v>
      </c>
      <c r="G57" s="3"/>
      <c r="H57" s="3" t="s">
        <v>73</v>
      </c>
      <c r="I57" s="3">
        <v>17.698277489199601</v>
      </c>
      <c r="J57" s="3">
        <v>2.5438331806357199</v>
      </c>
      <c r="K57" s="3">
        <v>-6.7597440626103095E-2</v>
      </c>
      <c r="L57" s="3">
        <v>1.00195890263497</v>
      </c>
      <c r="M57" s="3"/>
      <c r="AN57" s="7" t="s">
        <v>264</v>
      </c>
      <c r="AO57">
        <f t="shared" si="0"/>
        <v>310</v>
      </c>
      <c r="AP57" s="7">
        <v>19.844000000000001</v>
      </c>
      <c r="AR57">
        <v>418</v>
      </c>
      <c r="AT57">
        <v>17.9912891291055</v>
      </c>
    </row>
    <row r="58" spans="1:46">
      <c r="A58" s="3" t="s">
        <v>77</v>
      </c>
      <c r="B58" s="3">
        <v>416</v>
      </c>
      <c r="C58" s="3">
        <v>420</v>
      </c>
      <c r="D58" s="3">
        <f t="shared" si="1"/>
        <v>418</v>
      </c>
      <c r="E58" s="3">
        <v>0.33400000000000002</v>
      </c>
      <c r="F58" s="3">
        <v>1.012</v>
      </c>
      <c r="G58" s="3"/>
      <c r="H58" s="3" t="s">
        <v>73</v>
      </c>
      <c r="I58" s="3">
        <v>17.9912891291055</v>
      </c>
      <c r="J58" s="3">
        <v>2.4904276959731502</v>
      </c>
      <c r="K58" s="3">
        <v>-8.2364253665511797E-2</v>
      </c>
      <c r="L58" s="3">
        <v>0.99905761620935596</v>
      </c>
      <c r="M58" s="3"/>
      <c r="AN58" s="2" t="s">
        <v>265</v>
      </c>
      <c r="AO58">
        <f t="shared" si="0"/>
        <v>315</v>
      </c>
      <c r="AP58" s="2">
        <v>21.427</v>
      </c>
      <c r="AR58">
        <v>421.5</v>
      </c>
      <c r="AT58">
        <v>18.257728020753198</v>
      </c>
    </row>
    <row r="59" spans="1:46">
      <c r="A59" s="3" t="s">
        <v>78</v>
      </c>
      <c r="B59" s="3">
        <v>420</v>
      </c>
      <c r="C59" s="3">
        <v>423</v>
      </c>
      <c r="D59" s="3">
        <f t="shared" si="1"/>
        <v>421.5</v>
      </c>
      <c r="E59" s="3">
        <v>0.30199999999999999</v>
      </c>
      <c r="F59" s="3">
        <v>1.095</v>
      </c>
      <c r="G59" s="3" t="s">
        <v>240</v>
      </c>
      <c r="H59" s="3" t="s">
        <v>73</v>
      </c>
      <c r="I59" s="3">
        <v>18.257728020753198</v>
      </c>
      <c r="J59" s="3">
        <v>2.43429542142287</v>
      </c>
      <c r="K59" s="3">
        <v>-8.2880677562552602E-2</v>
      </c>
      <c r="L59" s="3">
        <v>1.0057301015972699</v>
      </c>
      <c r="M59" s="3"/>
      <c r="AN59" s="7" t="s">
        <v>266</v>
      </c>
      <c r="AO59">
        <f t="shared" si="0"/>
        <v>320</v>
      </c>
      <c r="AP59" s="7">
        <v>17.327000000000002</v>
      </c>
      <c r="AR59">
        <v>424.5</v>
      </c>
      <c r="AT59">
        <v>16.6276878454829</v>
      </c>
    </row>
    <row r="60" spans="1:46">
      <c r="A60" s="3" t="s">
        <v>79</v>
      </c>
      <c r="B60" s="3">
        <v>423</v>
      </c>
      <c r="C60" s="3">
        <v>426</v>
      </c>
      <c r="D60" s="3">
        <f t="shared" si="1"/>
        <v>424.5</v>
      </c>
      <c r="E60" s="3">
        <v>0.35699999999999998</v>
      </c>
      <c r="F60" s="3">
        <v>1.079</v>
      </c>
      <c r="G60" s="3"/>
      <c r="H60" s="3" t="s">
        <v>73</v>
      </c>
      <c r="I60" s="3">
        <v>16.6276878454829</v>
      </c>
      <c r="J60" s="3">
        <v>2.23290442390141</v>
      </c>
      <c r="K60" s="3">
        <v>-6.5459970020442099E-2</v>
      </c>
      <c r="L60" s="3">
        <v>1.01391257634543</v>
      </c>
      <c r="M60" s="3"/>
      <c r="AN60" s="2" t="s">
        <v>267</v>
      </c>
      <c r="AO60">
        <f t="shared" si="0"/>
        <v>325</v>
      </c>
      <c r="AP60" s="2">
        <v>15.411</v>
      </c>
      <c r="AR60">
        <v>428</v>
      </c>
      <c r="AT60">
        <v>17.453877757397201</v>
      </c>
    </row>
    <row r="61" spans="1:46">
      <c r="A61" s="3" t="s">
        <v>80</v>
      </c>
      <c r="B61" s="3">
        <v>426</v>
      </c>
      <c r="C61" s="3">
        <v>430</v>
      </c>
      <c r="D61" s="3">
        <f t="shared" si="1"/>
        <v>428</v>
      </c>
      <c r="E61" s="3">
        <v>0.3</v>
      </c>
      <c r="F61" s="3">
        <v>1.016</v>
      </c>
      <c r="G61" s="3" t="s">
        <v>245</v>
      </c>
      <c r="H61" s="3" t="s">
        <v>73</v>
      </c>
      <c r="I61" s="3">
        <v>17.453877757397201</v>
      </c>
      <c r="J61" s="3">
        <v>2.2952997647965798</v>
      </c>
      <c r="K61" s="3">
        <v>-7.5538435505543094E-2</v>
      </c>
      <c r="L61" s="3">
        <v>1.02122912926391</v>
      </c>
      <c r="M61" s="3"/>
      <c r="AN61" s="7" t="s">
        <v>268</v>
      </c>
      <c r="AO61">
        <f t="shared" si="0"/>
        <v>330</v>
      </c>
      <c r="AP61" s="7">
        <v>16.135999999999999</v>
      </c>
      <c r="AR61">
        <v>432.5</v>
      </c>
      <c r="AT61">
        <v>18.325460841122599</v>
      </c>
    </row>
    <row r="62" spans="1:46">
      <c r="A62" s="3" t="s">
        <v>81</v>
      </c>
      <c r="B62" s="3">
        <v>430</v>
      </c>
      <c r="C62" s="3">
        <v>435</v>
      </c>
      <c r="D62" s="3">
        <f t="shared" si="1"/>
        <v>432.5</v>
      </c>
      <c r="E62" s="3">
        <v>0.30599999999999999</v>
      </c>
      <c r="F62" s="3">
        <v>1.0529999999999999</v>
      </c>
      <c r="G62" s="3"/>
      <c r="H62" s="3" t="s">
        <v>73</v>
      </c>
      <c r="I62" s="3">
        <v>18.325460841122599</v>
      </c>
      <c r="J62" s="3">
        <v>2.3848042175520598</v>
      </c>
      <c r="K62" s="3">
        <v>-7.0858729650314395E-2</v>
      </c>
      <c r="L62" s="3">
        <v>1.02352130905182</v>
      </c>
      <c r="M62" s="3"/>
      <c r="AN62" s="2" t="s">
        <v>269</v>
      </c>
      <c r="AO62">
        <f t="shared" si="0"/>
        <v>335</v>
      </c>
      <c r="AP62" s="2">
        <v>16.734999999999999</v>
      </c>
      <c r="AR62">
        <v>437.5</v>
      </c>
      <c r="AT62">
        <v>18.349921169625599</v>
      </c>
    </row>
    <row r="63" spans="1:46">
      <c r="A63" s="3" t="s">
        <v>82</v>
      </c>
      <c r="B63" s="3">
        <v>435</v>
      </c>
      <c r="C63" s="3">
        <v>440</v>
      </c>
      <c r="D63" s="3">
        <f t="shared" si="1"/>
        <v>437.5</v>
      </c>
      <c r="E63" s="3">
        <v>0.377</v>
      </c>
      <c r="F63" s="3">
        <v>1.042</v>
      </c>
      <c r="G63" s="3"/>
      <c r="H63" s="3" t="s">
        <v>73</v>
      </c>
      <c r="I63" s="3">
        <v>18.349921169625599</v>
      </c>
      <c r="J63" s="3">
        <v>2.24432462613203</v>
      </c>
      <c r="K63" s="3">
        <v>-8.3179676353616602E-2</v>
      </c>
      <c r="L63" s="3">
        <v>1.0194075307531101</v>
      </c>
      <c r="M63" s="3"/>
      <c r="AN63" s="7" t="s">
        <v>270</v>
      </c>
      <c r="AO63">
        <f t="shared" si="0"/>
        <v>340</v>
      </c>
      <c r="AP63" s="7">
        <v>15.21</v>
      </c>
      <c r="AR63">
        <v>442.5</v>
      </c>
      <c r="AT63">
        <v>18.1871206977913</v>
      </c>
    </row>
    <row r="64" spans="1:46">
      <c r="A64" s="3" t="s">
        <v>83</v>
      </c>
      <c r="B64" s="3">
        <v>440</v>
      </c>
      <c r="C64" s="3">
        <v>445</v>
      </c>
      <c r="D64" s="3">
        <f t="shared" si="1"/>
        <v>442.5</v>
      </c>
      <c r="E64" s="3">
        <v>0.39400000000000002</v>
      </c>
      <c r="F64" s="3">
        <v>1.0469999999999999</v>
      </c>
      <c r="G64" s="3"/>
      <c r="H64" s="3" t="s">
        <v>73</v>
      </c>
      <c r="I64" s="3">
        <v>18.1871206977913</v>
      </c>
      <c r="J64" s="3">
        <v>2.3904522674896098</v>
      </c>
      <c r="K64" s="3">
        <v>-8.2429004567425093E-2</v>
      </c>
      <c r="L64" s="3">
        <v>1.0140735545192301</v>
      </c>
      <c r="M64" s="3"/>
      <c r="AN64" s="2" t="s">
        <v>271</v>
      </c>
      <c r="AO64">
        <f t="shared" si="0"/>
        <v>345</v>
      </c>
      <c r="AP64" s="2">
        <v>15.215</v>
      </c>
      <c r="AR64">
        <v>447.5</v>
      </c>
      <c r="AT64">
        <v>17.6448954568076</v>
      </c>
    </row>
    <row r="65" spans="1:46">
      <c r="A65" s="3" t="s">
        <v>84</v>
      </c>
      <c r="B65" s="3">
        <v>445</v>
      </c>
      <c r="C65" s="3">
        <v>450</v>
      </c>
      <c r="D65" s="3">
        <f t="shared" si="1"/>
        <v>447.5</v>
      </c>
      <c r="E65" s="3">
        <v>0.313</v>
      </c>
      <c r="F65" s="3">
        <v>1.0649999999999999</v>
      </c>
      <c r="G65" s="3"/>
      <c r="H65" s="3" t="s">
        <v>73</v>
      </c>
      <c r="I65" s="3">
        <v>17.6448954568076</v>
      </c>
      <c r="J65" s="3">
        <v>2.4068032417591598</v>
      </c>
      <c r="K65" s="3">
        <v>-8.6202229958297696E-2</v>
      </c>
      <c r="L65" s="3">
        <v>1.00706879712405</v>
      </c>
      <c r="M65" s="3"/>
      <c r="AN65" s="7" t="s">
        <v>272</v>
      </c>
      <c r="AO65">
        <f t="shared" si="0"/>
        <v>350</v>
      </c>
      <c r="AP65" s="7">
        <v>15.212</v>
      </c>
      <c r="AR65">
        <v>452.5</v>
      </c>
      <c r="AT65">
        <v>17.4611860802327</v>
      </c>
    </row>
    <row r="66" spans="1:46">
      <c r="A66" s="3" t="s">
        <v>85</v>
      </c>
      <c r="B66" s="3">
        <v>450</v>
      </c>
      <c r="C66" s="3">
        <v>455</v>
      </c>
      <c r="D66" s="3">
        <f t="shared" si="1"/>
        <v>452.5</v>
      </c>
      <c r="E66" s="3">
        <v>0.377</v>
      </c>
      <c r="F66" s="3">
        <v>1.004</v>
      </c>
      <c r="G66" s="3"/>
      <c r="H66" s="3" t="s">
        <v>73</v>
      </c>
      <c r="I66" s="3">
        <v>17.4611860802327</v>
      </c>
      <c r="J66" s="3">
        <v>2.4204352426426099</v>
      </c>
      <c r="K66" s="3">
        <v>-7.4674843466426694E-2</v>
      </c>
      <c r="L66" s="3">
        <v>1.01083563879292</v>
      </c>
      <c r="M66" s="3"/>
      <c r="AN66" s="2" t="s">
        <v>273</v>
      </c>
      <c r="AO66">
        <f t="shared" si="0"/>
        <v>355</v>
      </c>
      <c r="AP66" s="2">
        <v>15.475</v>
      </c>
      <c r="AR66">
        <v>457.5</v>
      </c>
      <c r="AT66">
        <v>17.053523986475302</v>
      </c>
    </row>
    <row r="67" spans="1:46">
      <c r="A67" s="3" t="s">
        <v>86</v>
      </c>
      <c r="B67" s="3">
        <v>455</v>
      </c>
      <c r="C67" s="3">
        <v>460</v>
      </c>
      <c r="D67" s="3">
        <f t="shared" si="1"/>
        <v>457.5</v>
      </c>
      <c r="E67" s="3">
        <v>0.38500000000000001</v>
      </c>
      <c r="F67" s="3">
        <v>1.0429999999999999</v>
      </c>
      <c r="G67" s="3"/>
      <c r="H67" s="3" t="s">
        <v>73</v>
      </c>
      <c r="I67" s="3">
        <v>17.053523986475302</v>
      </c>
      <c r="J67" s="3">
        <v>2.3548181342551202</v>
      </c>
      <c r="K67" s="3">
        <v>-7.9682976580907006E-2</v>
      </c>
      <c r="L67" s="3">
        <v>1.0122456805186499</v>
      </c>
      <c r="M67" s="3"/>
      <c r="AN67" s="7" t="s">
        <v>274</v>
      </c>
      <c r="AO67">
        <f t="shared" ref="AO67:AO130" si="2">AN67*10</f>
        <v>360</v>
      </c>
      <c r="AP67" s="7">
        <v>15.943</v>
      </c>
      <c r="AR67">
        <v>461</v>
      </c>
      <c r="AT67">
        <v>17.707459201962902</v>
      </c>
    </row>
    <row r="68" spans="1:46">
      <c r="A68" s="3" t="s">
        <v>87</v>
      </c>
      <c r="B68" s="3">
        <v>460</v>
      </c>
      <c r="C68" s="3">
        <v>462</v>
      </c>
      <c r="D68" s="3">
        <f t="shared" ref="D68:D131" si="3">B68+(C68-B68)/2</f>
        <v>461</v>
      </c>
      <c r="E68" s="3">
        <v>0.30599999999999999</v>
      </c>
      <c r="F68" s="3">
        <v>1.022</v>
      </c>
      <c r="G68" s="3" t="s">
        <v>240</v>
      </c>
      <c r="H68" s="3" t="s">
        <v>73</v>
      </c>
      <c r="I68" s="3">
        <v>17.707459201962902</v>
      </c>
      <c r="J68" s="3">
        <v>2.3213231746835499</v>
      </c>
      <c r="K68" s="3">
        <v>-5.3139842979787702E-2</v>
      </c>
      <c r="L68" s="3">
        <v>1.0354308037120701</v>
      </c>
      <c r="M68" s="3"/>
      <c r="AN68" s="2" t="s">
        <v>275</v>
      </c>
      <c r="AO68">
        <f t="shared" si="2"/>
        <v>365</v>
      </c>
      <c r="AP68" s="2">
        <v>16.670000000000002</v>
      </c>
      <c r="AR68">
        <v>463.5</v>
      </c>
      <c r="AT68">
        <v>16.825408572613298</v>
      </c>
    </row>
    <row r="69" spans="1:46">
      <c r="A69" s="3" t="s">
        <v>88</v>
      </c>
      <c r="B69" s="3">
        <v>462</v>
      </c>
      <c r="C69" s="3">
        <v>465</v>
      </c>
      <c r="D69" s="3">
        <f t="shared" si="3"/>
        <v>463.5</v>
      </c>
      <c r="E69" s="3">
        <v>0.313</v>
      </c>
      <c r="F69" s="3">
        <v>1.0089999999999999</v>
      </c>
      <c r="G69" s="3"/>
      <c r="H69" s="3" t="s">
        <v>73</v>
      </c>
      <c r="I69" s="3">
        <v>16.825408572613298</v>
      </c>
      <c r="J69" s="3">
        <v>2.2067310249175098</v>
      </c>
      <c r="K69" s="3">
        <v>-6.4664214613635404E-2</v>
      </c>
      <c r="L69" s="3">
        <v>1.0208093783757</v>
      </c>
      <c r="M69" s="3"/>
      <c r="AN69" s="7" t="s">
        <v>276</v>
      </c>
      <c r="AO69">
        <f t="shared" si="2"/>
        <v>370</v>
      </c>
      <c r="AP69" s="7">
        <v>15.28</v>
      </c>
      <c r="AR69">
        <v>467.5</v>
      </c>
      <c r="AT69">
        <v>17.057439280039102</v>
      </c>
    </row>
    <row r="70" spans="1:46">
      <c r="A70" s="3" t="s">
        <v>89</v>
      </c>
      <c r="B70" s="3">
        <v>465</v>
      </c>
      <c r="C70" s="3">
        <v>470</v>
      </c>
      <c r="D70" s="3">
        <f t="shared" si="3"/>
        <v>467.5</v>
      </c>
      <c r="E70" s="3">
        <v>0.39100000000000001</v>
      </c>
      <c r="F70" s="3">
        <v>1.0509999999999999</v>
      </c>
      <c r="G70" s="3"/>
      <c r="H70" s="3" t="s">
        <v>73</v>
      </c>
      <c r="I70" s="3">
        <v>17.057439280039102</v>
      </c>
      <c r="J70" s="3">
        <v>2.33676690833496</v>
      </c>
      <c r="K70" s="3">
        <v>-5.3925351679045101E-2</v>
      </c>
      <c r="L70" s="3">
        <v>1.0318160621996399</v>
      </c>
      <c r="M70" s="3"/>
      <c r="AN70" s="2" t="s">
        <v>277</v>
      </c>
      <c r="AO70">
        <f t="shared" si="2"/>
        <v>375</v>
      </c>
      <c r="AP70" s="2">
        <v>16.207999999999998</v>
      </c>
      <c r="AR70">
        <v>472.5</v>
      </c>
      <c r="AT70">
        <v>16.450608143888701</v>
      </c>
    </row>
    <row r="71" spans="1:46">
      <c r="A71" s="3" t="s">
        <v>90</v>
      </c>
      <c r="B71" s="3">
        <v>470</v>
      </c>
      <c r="C71" s="3">
        <v>475</v>
      </c>
      <c r="D71" s="3">
        <f t="shared" si="3"/>
        <v>472.5</v>
      </c>
      <c r="E71" s="3">
        <v>0.317</v>
      </c>
      <c r="F71" s="3">
        <v>1.0329999999999999</v>
      </c>
      <c r="G71" s="3"/>
      <c r="H71" s="3" t="s">
        <v>73</v>
      </c>
      <c r="I71" s="3">
        <v>16.450608143888701</v>
      </c>
      <c r="J71" s="3">
        <v>2.49244625550135</v>
      </c>
      <c r="K71" s="3">
        <v>-8.6039229202098194E-2</v>
      </c>
      <c r="L71" s="3">
        <v>1.00234529018118</v>
      </c>
      <c r="M71" s="3"/>
      <c r="AN71" s="7" t="s">
        <v>278</v>
      </c>
      <c r="AO71">
        <f t="shared" si="2"/>
        <v>380</v>
      </c>
      <c r="AP71" s="7">
        <v>16.995999999999999</v>
      </c>
      <c r="AR71">
        <v>476</v>
      </c>
      <c r="AT71">
        <v>16.234082421005599</v>
      </c>
    </row>
    <row r="72" spans="1:46">
      <c r="A72" s="3" t="s">
        <v>91</v>
      </c>
      <c r="B72" s="3">
        <v>475</v>
      </c>
      <c r="C72" s="3">
        <v>477</v>
      </c>
      <c r="D72" s="3">
        <f t="shared" si="3"/>
        <v>476</v>
      </c>
      <c r="E72" s="3">
        <v>0.36799999999999999</v>
      </c>
      <c r="F72" s="3">
        <v>1.0009999999999999</v>
      </c>
      <c r="G72" s="3"/>
      <c r="H72" s="3" t="s">
        <v>73</v>
      </c>
      <c r="I72" s="3">
        <v>16.234082421005599</v>
      </c>
      <c r="J72" s="3">
        <v>2.36504571634479</v>
      </c>
      <c r="K72" s="3">
        <v>-0.11637783864854501</v>
      </c>
      <c r="L72" s="3">
        <v>0.997889542406179</v>
      </c>
      <c r="M72" s="3"/>
      <c r="AN72" s="2" t="s">
        <v>279</v>
      </c>
      <c r="AO72">
        <f t="shared" si="2"/>
        <v>385</v>
      </c>
      <c r="AP72" s="2">
        <v>18.385999999999999</v>
      </c>
      <c r="AR72">
        <v>478.5</v>
      </c>
      <c r="AT72">
        <v>17.101903750439799</v>
      </c>
    </row>
    <row r="73" spans="1:46">
      <c r="A73" s="3" t="s">
        <v>92</v>
      </c>
      <c r="B73" s="3">
        <v>477</v>
      </c>
      <c r="C73" s="3">
        <v>480</v>
      </c>
      <c r="D73" s="3">
        <f t="shared" si="3"/>
        <v>478.5</v>
      </c>
      <c r="E73" s="3">
        <v>0.377</v>
      </c>
      <c r="F73" s="3">
        <v>1.0940000000000001</v>
      </c>
      <c r="G73" s="3"/>
      <c r="H73" s="3" t="s">
        <v>73</v>
      </c>
      <c r="I73" s="3">
        <v>17.101903750439799</v>
      </c>
      <c r="J73" s="3">
        <v>2.6132628808534402</v>
      </c>
      <c r="K73" s="3">
        <v>-7.61545526278853E-2</v>
      </c>
      <c r="L73" s="3">
        <v>0.98987840859769904</v>
      </c>
      <c r="M73" s="3"/>
      <c r="AN73" s="7" t="s">
        <v>280</v>
      </c>
      <c r="AO73">
        <f t="shared" si="2"/>
        <v>390</v>
      </c>
      <c r="AP73" s="7">
        <v>16.928000000000001</v>
      </c>
      <c r="AR73">
        <v>481.5</v>
      </c>
    </row>
    <row r="74" spans="1:46">
      <c r="A74" s="3" t="s">
        <v>93</v>
      </c>
      <c r="B74" s="3">
        <v>480</v>
      </c>
      <c r="C74" s="3">
        <v>483</v>
      </c>
      <c r="D74" s="3">
        <f t="shared" si="3"/>
        <v>481.5</v>
      </c>
      <c r="E74" s="3">
        <v>0.313</v>
      </c>
      <c r="F74" s="3">
        <v>1.087</v>
      </c>
      <c r="G74" s="3"/>
      <c r="H74" s="3" t="s">
        <v>73</v>
      </c>
      <c r="I74" s="3"/>
      <c r="J74" s="3"/>
      <c r="K74" s="3"/>
      <c r="L74" s="3"/>
      <c r="M74" s="3"/>
      <c r="AN74" s="2" t="s">
        <v>281</v>
      </c>
      <c r="AO74">
        <f t="shared" si="2"/>
        <v>395</v>
      </c>
      <c r="AP74" s="2">
        <v>17.917999999999999</v>
      </c>
      <c r="AR74">
        <v>484</v>
      </c>
      <c r="AT74">
        <v>17.775455974689599</v>
      </c>
    </row>
    <row r="75" spans="1:46">
      <c r="A75" s="3" t="s">
        <v>94</v>
      </c>
      <c r="B75" s="3">
        <v>483</v>
      </c>
      <c r="C75" s="3">
        <v>485</v>
      </c>
      <c r="D75" s="3">
        <f t="shared" si="3"/>
        <v>484</v>
      </c>
      <c r="E75" s="3">
        <v>0.30399999999999999</v>
      </c>
      <c r="F75" s="3">
        <v>1.089</v>
      </c>
      <c r="G75" s="3"/>
      <c r="H75" s="3" t="s">
        <v>73</v>
      </c>
      <c r="I75" s="3">
        <v>17.775455974689599</v>
      </c>
      <c r="J75" s="3">
        <v>2.3928532892204402</v>
      </c>
      <c r="K75" s="3">
        <v>-8.3165168522412694E-2</v>
      </c>
      <c r="L75" s="3">
        <v>1.0100605497791899</v>
      </c>
      <c r="M75" s="3"/>
      <c r="AN75" s="7" t="s">
        <v>282</v>
      </c>
      <c r="AO75">
        <f t="shared" si="2"/>
        <v>400</v>
      </c>
      <c r="AP75" s="7">
        <v>19.181000000000001</v>
      </c>
      <c r="AR75">
        <v>487</v>
      </c>
      <c r="AT75">
        <v>17.018535442161799</v>
      </c>
    </row>
    <row r="76" spans="1:46">
      <c r="A76" s="3" t="s">
        <v>95</v>
      </c>
      <c r="B76" s="3">
        <v>485</v>
      </c>
      <c r="C76" s="3">
        <v>489</v>
      </c>
      <c r="D76" s="3">
        <f t="shared" si="3"/>
        <v>487</v>
      </c>
      <c r="E76" s="3">
        <v>0.39</v>
      </c>
      <c r="F76" s="3">
        <v>1.0740000000000001</v>
      </c>
      <c r="G76" s="3"/>
      <c r="H76" s="3" t="s">
        <v>73</v>
      </c>
      <c r="I76" s="3">
        <v>17.018535442161799</v>
      </c>
      <c r="J76" s="3">
        <v>2.20187277011956</v>
      </c>
      <c r="K76" s="3">
        <v>-7.9945580248441797E-2</v>
      </c>
      <c r="L76" s="3">
        <v>1.0157478056375899</v>
      </c>
      <c r="M76" s="3"/>
      <c r="AN76" s="2" t="s">
        <v>283</v>
      </c>
      <c r="AO76">
        <f t="shared" si="2"/>
        <v>405</v>
      </c>
      <c r="AP76" s="2">
        <v>18.710999999999999</v>
      </c>
      <c r="AR76">
        <v>490</v>
      </c>
      <c r="AT76">
        <v>17.653934148927402</v>
      </c>
    </row>
    <row r="77" spans="1:46">
      <c r="A77" s="3" t="s">
        <v>96</v>
      </c>
      <c r="B77" s="3">
        <v>489</v>
      </c>
      <c r="C77" s="3">
        <v>491</v>
      </c>
      <c r="D77" s="3">
        <f t="shared" si="3"/>
        <v>490</v>
      </c>
      <c r="E77" s="3">
        <v>0.39500000000000002</v>
      </c>
      <c r="F77" s="3">
        <v>1.01</v>
      </c>
      <c r="G77" s="3"/>
      <c r="H77" s="3" t="s">
        <v>73</v>
      </c>
      <c r="I77" s="3">
        <v>17.653934148927402</v>
      </c>
      <c r="J77" s="3">
        <v>2.3600287005241398</v>
      </c>
      <c r="K77" s="3">
        <v>-7.4421296457607394E-2</v>
      </c>
      <c r="L77" s="3">
        <v>1.01419591271137</v>
      </c>
      <c r="M77" s="3"/>
      <c r="AN77" s="7" t="s">
        <v>284</v>
      </c>
      <c r="AO77">
        <f t="shared" si="2"/>
        <v>410</v>
      </c>
      <c r="AP77" s="7">
        <v>19.109000000000002</v>
      </c>
      <c r="AR77">
        <v>492</v>
      </c>
      <c r="AT77">
        <v>15.9953879285036</v>
      </c>
    </row>
    <row r="78" spans="1:46">
      <c r="A78" s="3" t="s">
        <v>97</v>
      </c>
      <c r="B78" s="3">
        <v>491</v>
      </c>
      <c r="C78" s="3">
        <v>493</v>
      </c>
      <c r="D78" s="3">
        <f t="shared" si="3"/>
        <v>492</v>
      </c>
      <c r="E78" s="3">
        <v>0.31</v>
      </c>
      <c r="F78" s="3">
        <v>1.0609999999999999</v>
      </c>
      <c r="G78" s="3"/>
      <c r="H78" s="3" t="s">
        <v>73</v>
      </c>
      <c r="I78" s="3">
        <v>15.9953879285036</v>
      </c>
      <c r="J78" s="3">
        <v>2.1138273350771</v>
      </c>
      <c r="K78" s="3">
        <v>-8.43014980799386E-2</v>
      </c>
      <c r="L78" s="3">
        <v>1.00962002975361</v>
      </c>
      <c r="M78" s="3"/>
      <c r="AN78" s="2" t="s">
        <v>285</v>
      </c>
      <c r="AO78">
        <f t="shared" si="2"/>
        <v>415</v>
      </c>
      <c r="AP78" s="2">
        <v>19.042999999999999</v>
      </c>
      <c r="AR78">
        <v>494</v>
      </c>
      <c r="AT78">
        <v>15.6283855397346</v>
      </c>
    </row>
    <row r="79" spans="1:46">
      <c r="A79" s="3" t="s">
        <v>98</v>
      </c>
      <c r="B79" s="3">
        <v>493</v>
      </c>
      <c r="C79" s="3">
        <v>495</v>
      </c>
      <c r="D79" s="3">
        <f t="shared" si="3"/>
        <v>494</v>
      </c>
      <c r="E79" s="3">
        <v>0.35699999999999998</v>
      </c>
      <c r="F79" s="3">
        <v>1.0149999999999999</v>
      </c>
      <c r="G79" s="3"/>
      <c r="H79" s="3" t="s">
        <v>73</v>
      </c>
      <c r="I79" s="3">
        <v>15.6283855397346</v>
      </c>
      <c r="J79" s="3">
        <v>2.2267847112719998</v>
      </c>
      <c r="K79" s="3">
        <v>-6.85131949861916E-2</v>
      </c>
      <c r="L79" s="3">
        <v>1.0106940824174699</v>
      </c>
      <c r="M79" s="3"/>
      <c r="AN79" s="7" t="s">
        <v>286</v>
      </c>
      <c r="AO79">
        <f t="shared" si="2"/>
        <v>420</v>
      </c>
      <c r="AP79" s="7">
        <v>20.898</v>
      </c>
      <c r="AR79">
        <v>497.5</v>
      </c>
      <c r="AT79">
        <v>15.5762558695598</v>
      </c>
    </row>
    <row r="80" spans="1:46">
      <c r="A80" s="3" t="s">
        <v>99</v>
      </c>
      <c r="B80" s="3">
        <v>495</v>
      </c>
      <c r="C80" s="3">
        <v>500</v>
      </c>
      <c r="D80" s="3">
        <f t="shared" si="3"/>
        <v>497.5</v>
      </c>
      <c r="E80" s="3">
        <v>0.36299999999999999</v>
      </c>
      <c r="F80" s="3">
        <v>1.0780000000000001</v>
      </c>
      <c r="G80" s="3" t="s">
        <v>245</v>
      </c>
      <c r="H80" s="3" t="s">
        <v>73</v>
      </c>
      <c r="I80" s="3">
        <v>15.5762558695598</v>
      </c>
      <c r="J80" s="3">
        <v>2.2323713286114102</v>
      </c>
      <c r="K80" s="3">
        <v>-7.6716075314051696E-2</v>
      </c>
      <c r="L80" s="3">
        <v>1.00850689672628</v>
      </c>
      <c r="M80" s="3"/>
      <c r="AN80" s="2" t="s">
        <v>287</v>
      </c>
      <c r="AO80">
        <f t="shared" si="2"/>
        <v>425</v>
      </c>
      <c r="AP80" s="2">
        <v>20.895</v>
      </c>
      <c r="AR80">
        <v>502.5</v>
      </c>
      <c r="AT80">
        <v>15.7873049466477</v>
      </c>
    </row>
    <row r="81" spans="1:46">
      <c r="A81" s="3" t="s">
        <v>100</v>
      </c>
      <c r="B81" s="3">
        <v>500</v>
      </c>
      <c r="C81" s="3">
        <v>505</v>
      </c>
      <c r="D81" s="3">
        <f t="shared" si="3"/>
        <v>502.5</v>
      </c>
      <c r="E81" s="3">
        <v>0.32900000000000001</v>
      </c>
      <c r="F81" s="3">
        <v>1.0620000000000001</v>
      </c>
      <c r="G81" s="3"/>
      <c r="H81" s="3" t="s">
        <v>73</v>
      </c>
      <c r="I81" s="3">
        <v>15.7873049466477</v>
      </c>
      <c r="J81" s="3">
        <v>2.5110452144851099</v>
      </c>
      <c r="K81" s="3">
        <v>-8.3406828081086903E-2</v>
      </c>
      <c r="L81" s="3">
        <v>0.96801331991754302</v>
      </c>
      <c r="M81" s="3"/>
      <c r="AN81" s="7" t="s">
        <v>288</v>
      </c>
      <c r="AO81">
        <f t="shared" si="2"/>
        <v>430</v>
      </c>
      <c r="AP81" s="7">
        <v>20.696000000000002</v>
      </c>
      <c r="AR81">
        <v>508</v>
      </c>
      <c r="AT81">
        <v>16.170154255624301</v>
      </c>
    </row>
    <row r="82" spans="1:46">
      <c r="A82" s="3" t="s">
        <v>101</v>
      </c>
      <c r="B82" s="3">
        <v>506</v>
      </c>
      <c r="C82" s="3">
        <v>510</v>
      </c>
      <c r="D82" s="3">
        <f t="shared" si="3"/>
        <v>508</v>
      </c>
      <c r="E82" s="3">
        <v>0.34599999999999997</v>
      </c>
      <c r="F82" s="3">
        <v>1.0720000000000001</v>
      </c>
      <c r="G82" s="3"/>
      <c r="H82" s="3" t="s">
        <v>73</v>
      </c>
      <c r="I82" s="3">
        <v>16.170154255624301</v>
      </c>
      <c r="J82" s="3">
        <v>2.4838100206621498</v>
      </c>
      <c r="K82" s="3">
        <v>-9.7686114968775203E-2</v>
      </c>
      <c r="L82" s="3">
        <v>0.98945663057285504</v>
      </c>
      <c r="M82" s="3"/>
      <c r="AN82" s="2" t="s">
        <v>289</v>
      </c>
      <c r="AO82">
        <f t="shared" si="2"/>
        <v>435</v>
      </c>
      <c r="AP82" s="2">
        <v>20.896999999999998</v>
      </c>
      <c r="AR82">
        <v>512.5</v>
      </c>
      <c r="AT82">
        <v>17.1923462826099</v>
      </c>
    </row>
    <row r="83" spans="1:46">
      <c r="A83" s="3" t="s">
        <v>102</v>
      </c>
      <c r="B83" s="3">
        <v>510</v>
      </c>
      <c r="C83" s="3">
        <v>515</v>
      </c>
      <c r="D83" s="3">
        <f t="shared" si="3"/>
        <v>512.5</v>
      </c>
      <c r="E83" s="3">
        <v>0.33900000000000002</v>
      </c>
      <c r="F83" s="3">
        <v>1.071</v>
      </c>
      <c r="G83" s="3"/>
      <c r="H83" s="3" t="s">
        <v>73</v>
      </c>
      <c r="I83" s="3">
        <v>17.1923462826099</v>
      </c>
      <c r="J83" s="3">
        <v>2.3742807873205898</v>
      </c>
      <c r="K83" s="3">
        <v>-6.5301652039913199E-2</v>
      </c>
      <c r="L83" s="3">
        <v>1.0109459311101401</v>
      </c>
      <c r="M83" s="3"/>
      <c r="AN83" s="7" t="s">
        <v>290</v>
      </c>
      <c r="AO83">
        <f t="shared" si="2"/>
        <v>440</v>
      </c>
      <c r="AP83" s="7">
        <v>20.501999999999999</v>
      </c>
      <c r="AR83">
        <v>517.5</v>
      </c>
      <c r="AT83">
        <v>17.738173607338101</v>
      </c>
    </row>
    <row r="84" spans="1:46">
      <c r="A84" s="3" t="s">
        <v>103</v>
      </c>
      <c r="B84" s="3">
        <v>515</v>
      </c>
      <c r="C84" s="3">
        <v>520</v>
      </c>
      <c r="D84" s="3">
        <f t="shared" si="3"/>
        <v>517.5</v>
      </c>
      <c r="E84" s="3">
        <v>0.37</v>
      </c>
      <c r="F84" s="3">
        <v>1.0609999999999999</v>
      </c>
      <c r="G84" s="3"/>
      <c r="H84" s="3" t="s">
        <v>73</v>
      </c>
      <c r="I84" s="3">
        <v>17.738173607338101</v>
      </c>
      <c r="J84" s="3">
        <v>2.1797200417793201</v>
      </c>
      <c r="K84" s="3">
        <v>-6.45984235375405E-2</v>
      </c>
      <c r="L84" s="3">
        <v>1.01324827264836</v>
      </c>
      <c r="M84" s="3"/>
      <c r="AN84" s="2" t="s">
        <v>291</v>
      </c>
      <c r="AO84">
        <f t="shared" si="2"/>
        <v>445</v>
      </c>
      <c r="AP84" s="2">
        <v>20.433</v>
      </c>
      <c r="AR84">
        <v>521.5</v>
      </c>
      <c r="AT84">
        <v>18.005834644554302</v>
      </c>
    </row>
    <row r="85" spans="1:46">
      <c r="A85" s="3" t="s">
        <v>104</v>
      </c>
      <c r="B85" s="3">
        <v>520</v>
      </c>
      <c r="C85" s="3">
        <v>523</v>
      </c>
      <c r="D85" s="3">
        <f t="shared" si="3"/>
        <v>521.5</v>
      </c>
      <c r="E85" s="3">
        <v>0.31</v>
      </c>
      <c r="F85" s="3">
        <v>1.044</v>
      </c>
      <c r="G85" s="3" t="s">
        <v>240</v>
      </c>
      <c r="H85" s="3" t="s">
        <v>73</v>
      </c>
      <c r="I85" s="3">
        <v>18.005834644554302</v>
      </c>
      <c r="J85" s="3">
        <v>2.3476550934126599</v>
      </c>
      <c r="K85" s="3">
        <v>-0.100167370576148</v>
      </c>
      <c r="L85" s="3">
        <v>1.0013730939027501</v>
      </c>
      <c r="M85" s="3"/>
      <c r="AN85" s="7" t="s">
        <v>292</v>
      </c>
      <c r="AO85">
        <f t="shared" si="2"/>
        <v>450</v>
      </c>
      <c r="AP85" s="7">
        <v>21.225999999999999</v>
      </c>
      <c r="AR85">
        <v>524.5</v>
      </c>
      <c r="AT85">
        <v>17.737308946827099</v>
      </c>
    </row>
    <row r="86" spans="1:46">
      <c r="A86" s="3" t="s">
        <v>105</v>
      </c>
      <c r="B86" s="3">
        <v>523</v>
      </c>
      <c r="C86" s="3">
        <v>526</v>
      </c>
      <c r="D86" s="3">
        <f t="shared" si="3"/>
        <v>524.5</v>
      </c>
      <c r="E86" s="3">
        <v>0.312</v>
      </c>
      <c r="F86" s="3">
        <v>1.0649999999999999</v>
      </c>
      <c r="G86" s="3"/>
      <c r="H86" s="3" t="s">
        <v>73</v>
      </c>
      <c r="I86" s="3">
        <v>17.737308946827099</v>
      </c>
      <c r="J86" s="3">
        <v>2.2432712393631502</v>
      </c>
      <c r="K86" s="3">
        <v>-8.5947968979909306E-2</v>
      </c>
      <c r="L86" s="3">
        <v>1.00707306724993</v>
      </c>
      <c r="M86" s="3"/>
      <c r="AN86" s="2" t="s">
        <v>293</v>
      </c>
      <c r="AO86">
        <f t="shared" si="2"/>
        <v>455</v>
      </c>
      <c r="AP86" s="2">
        <v>20.698</v>
      </c>
      <c r="AR86">
        <v>528</v>
      </c>
      <c r="AT86">
        <v>15.9897915272524</v>
      </c>
    </row>
    <row r="87" spans="1:46">
      <c r="A87" s="3" t="s">
        <v>106</v>
      </c>
      <c r="B87" s="3">
        <v>526</v>
      </c>
      <c r="C87" s="3">
        <v>530</v>
      </c>
      <c r="D87" s="3">
        <f t="shared" si="3"/>
        <v>528</v>
      </c>
      <c r="E87" s="3">
        <v>0.30599999999999999</v>
      </c>
      <c r="F87" s="3">
        <v>1.0649999999999999</v>
      </c>
      <c r="G87" s="3"/>
      <c r="H87" s="3" t="s">
        <v>73</v>
      </c>
      <c r="I87" s="3">
        <v>15.9897915272524</v>
      </c>
      <c r="J87" s="3">
        <v>2.5896273449233802</v>
      </c>
      <c r="K87" s="3">
        <v>-7.2800819971340303E-2</v>
      </c>
      <c r="L87" s="3">
        <v>0.94931299593527896</v>
      </c>
      <c r="M87" s="3"/>
      <c r="AN87" s="7" t="s">
        <v>294</v>
      </c>
      <c r="AO87">
        <f t="shared" si="2"/>
        <v>460</v>
      </c>
      <c r="AP87" s="7">
        <v>20.960999999999999</v>
      </c>
      <c r="AR87">
        <v>531</v>
      </c>
      <c r="AT87">
        <v>14.9604081741288</v>
      </c>
    </row>
    <row r="88" spans="1:46">
      <c r="A88" s="3" t="s">
        <v>107</v>
      </c>
      <c r="B88" s="3">
        <v>530</v>
      </c>
      <c r="C88" s="3">
        <v>532</v>
      </c>
      <c r="D88" s="3">
        <f t="shared" si="3"/>
        <v>531</v>
      </c>
      <c r="E88" s="3">
        <v>0.34699999999999998</v>
      </c>
      <c r="F88" s="3">
        <v>1.0349999999999999</v>
      </c>
      <c r="G88" s="3"/>
      <c r="H88" s="3" t="s">
        <v>73</v>
      </c>
      <c r="I88" s="3">
        <v>14.9604081741288</v>
      </c>
      <c r="J88" s="3">
        <v>2.5989954575116201</v>
      </c>
      <c r="K88" s="3">
        <v>-2.8180078584220499E-2</v>
      </c>
      <c r="L88" s="3">
        <v>0.949615660028586</v>
      </c>
      <c r="M88" s="3"/>
      <c r="AN88" s="2" t="s">
        <v>295</v>
      </c>
      <c r="AO88">
        <f t="shared" si="2"/>
        <v>465</v>
      </c>
      <c r="AP88" s="2">
        <v>20.033999999999999</v>
      </c>
      <c r="AR88">
        <v>535</v>
      </c>
      <c r="AT88">
        <v>14.2188119602844</v>
      </c>
    </row>
    <row r="89" spans="1:46">
      <c r="A89" s="3" t="s">
        <v>108</v>
      </c>
      <c r="B89" s="3">
        <v>532</v>
      </c>
      <c r="C89" s="3">
        <v>538</v>
      </c>
      <c r="D89" s="3">
        <f t="shared" si="3"/>
        <v>535</v>
      </c>
      <c r="E89" s="3">
        <v>0.33100000000000002</v>
      </c>
      <c r="F89" s="3">
        <v>1.083</v>
      </c>
      <c r="G89" s="3"/>
      <c r="H89" s="3" t="s">
        <v>73</v>
      </c>
      <c r="I89" s="3">
        <v>14.2188119602844</v>
      </c>
      <c r="J89" s="3">
        <v>2.6245552476482401</v>
      </c>
      <c r="K89" s="3">
        <v>-3.99844321867205E-2</v>
      </c>
      <c r="L89" s="3">
        <v>0.92444090160524495</v>
      </c>
      <c r="M89" s="3"/>
      <c r="AN89" s="7" t="s">
        <v>296</v>
      </c>
      <c r="AO89">
        <f t="shared" si="2"/>
        <v>470</v>
      </c>
      <c r="AP89" s="7">
        <v>20.431000000000001</v>
      </c>
      <c r="AR89">
        <v>539</v>
      </c>
      <c r="AT89">
        <v>16.014158324145399</v>
      </c>
    </row>
    <row r="90" spans="1:46">
      <c r="A90" s="3" t="s">
        <v>109</v>
      </c>
      <c r="B90" s="3">
        <v>538</v>
      </c>
      <c r="C90" s="3">
        <v>540</v>
      </c>
      <c r="D90" s="3">
        <f t="shared" si="3"/>
        <v>539</v>
      </c>
      <c r="E90" s="3">
        <v>0.32100000000000001</v>
      </c>
      <c r="F90" s="3">
        <v>1.052</v>
      </c>
      <c r="G90" s="3"/>
      <c r="H90" s="3" t="s">
        <v>73</v>
      </c>
      <c r="I90" s="3">
        <v>16.014158324145399</v>
      </c>
      <c r="J90" s="3">
        <v>2.5347793817832098</v>
      </c>
      <c r="K90" s="3">
        <v>-7.2126065461301403E-2</v>
      </c>
      <c r="L90" s="3">
        <v>0.98138169538211395</v>
      </c>
      <c r="M90" s="3"/>
      <c r="AN90" s="2" t="s">
        <v>297</v>
      </c>
      <c r="AO90">
        <f t="shared" si="2"/>
        <v>475</v>
      </c>
      <c r="AP90" s="2">
        <v>21.026</v>
      </c>
      <c r="AR90">
        <v>541</v>
      </c>
      <c r="AT90">
        <v>16.432034598401401</v>
      </c>
    </row>
    <row r="91" spans="1:46">
      <c r="A91" s="3" t="s">
        <v>110</v>
      </c>
      <c r="B91" s="3">
        <v>540</v>
      </c>
      <c r="C91" s="3">
        <v>542</v>
      </c>
      <c r="D91" s="3">
        <f t="shared" si="3"/>
        <v>541</v>
      </c>
      <c r="E91" s="3">
        <v>0.34899999999999998</v>
      </c>
      <c r="F91" s="3">
        <v>1.0649999999999999</v>
      </c>
      <c r="G91" s="3"/>
      <c r="H91" s="3" t="s">
        <v>73</v>
      </c>
      <c r="I91" s="3">
        <v>16.432034598401401</v>
      </c>
      <c r="J91" s="3">
        <v>2.4092283792289901</v>
      </c>
      <c r="K91" s="3">
        <v>-7.7743741651681006E-2</v>
      </c>
      <c r="L91" s="3">
        <v>0.97396926964337005</v>
      </c>
      <c r="M91" s="3"/>
      <c r="AN91" s="7" t="s">
        <v>298</v>
      </c>
      <c r="AO91">
        <f t="shared" si="2"/>
        <v>480</v>
      </c>
      <c r="AP91" s="7">
        <v>21.097000000000001</v>
      </c>
      <c r="AR91">
        <v>543</v>
      </c>
      <c r="AT91">
        <v>16.868772122647901</v>
      </c>
    </row>
    <row r="92" spans="1:46">
      <c r="A92" s="3" t="s">
        <v>111</v>
      </c>
      <c r="B92" s="3">
        <v>542</v>
      </c>
      <c r="C92" s="3">
        <v>544</v>
      </c>
      <c r="D92" s="3">
        <f t="shared" si="3"/>
        <v>543</v>
      </c>
      <c r="E92" s="3">
        <v>0.33</v>
      </c>
      <c r="F92" s="3">
        <v>1.0049999999999999</v>
      </c>
      <c r="G92" s="3"/>
      <c r="H92" s="3" t="s">
        <v>73</v>
      </c>
      <c r="I92" s="3">
        <v>16.868772122647901</v>
      </c>
      <c r="J92" s="3">
        <v>2.5404704417778001</v>
      </c>
      <c r="K92" s="3">
        <v>-7.5462630396193497E-2</v>
      </c>
      <c r="L92" s="3">
        <v>0.98262696318991205</v>
      </c>
      <c r="M92" s="3"/>
      <c r="AN92" s="2" t="s">
        <v>299</v>
      </c>
      <c r="AO92">
        <f t="shared" si="2"/>
        <v>485</v>
      </c>
      <c r="AP92" s="2">
        <v>18.646999999999998</v>
      </c>
      <c r="AR92">
        <v>545</v>
      </c>
      <c r="AT92">
        <v>17.230518222040399</v>
      </c>
    </row>
    <row r="93" spans="1:46">
      <c r="A93" s="3" t="s">
        <v>112</v>
      </c>
      <c r="B93" s="3">
        <v>544</v>
      </c>
      <c r="C93" s="3">
        <v>546</v>
      </c>
      <c r="D93" s="3">
        <f t="shared" si="3"/>
        <v>545</v>
      </c>
      <c r="E93" s="3">
        <v>0.39200000000000002</v>
      </c>
      <c r="F93" s="3">
        <v>1.0920000000000001</v>
      </c>
      <c r="G93" s="3"/>
      <c r="H93" s="3" t="s">
        <v>73</v>
      </c>
      <c r="I93" s="3">
        <v>17.230518222040399</v>
      </c>
      <c r="J93" s="3">
        <v>2.37084947020533</v>
      </c>
      <c r="K93" s="3">
        <v>-0.10049085824607699</v>
      </c>
      <c r="L93" s="3">
        <v>0.99932100315476502</v>
      </c>
      <c r="M93" s="3"/>
      <c r="AN93" s="7" t="s">
        <v>300</v>
      </c>
      <c r="AO93">
        <f t="shared" si="2"/>
        <v>490</v>
      </c>
      <c r="AP93" s="7">
        <v>18.25</v>
      </c>
      <c r="AR93">
        <v>547</v>
      </c>
      <c r="AT93">
        <v>15.8309096376122</v>
      </c>
    </row>
    <row r="94" spans="1:46">
      <c r="A94" s="3" t="s">
        <v>113</v>
      </c>
      <c r="B94" s="3">
        <v>546</v>
      </c>
      <c r="C94" s="3">
        <v>548</v>
      </c>
      <c r="D94" s="3">
        <f t="shared" si="3"/>
        <v>547</v>
      </c>
      <c r="E94" s="3">
        <v>0.36499999999999999</v>
      </c>
      <c r="F94" s="3">
        <v>1.008</v>
      </c>
      <c r="G94" s="3"/>
      <c r="H94" s="3" t="s">
        <v>73</v>
      </c>
      <c r="I94" s="3">
        <v>15.8309096376122</v>
      </c>
      <c r="J94" s="3">
        <v>2.4181312667542301</v>
      </c>
      <c r="K94" s="3">
        <v>-9.5426296537290706E-2</v>
      </c>
      <c r="L94" s="3">
        <v>0.97874669224789601</v>
      </c>
      <c r="M94" s="3"/>
      <c r="AN94" s="2" t="s">
        <v>301</v>
      </c>
      <c r="AO94">
        <f t="shared" si="2"/>
        <v>495</v>
      </c>
      <c r="AP94" s="2">
        <v>17.13</v>
      </c>
      <c r="AR94">
        <v>549</v>
      </c>
      <c r="AT94">
        <v>15.981776093023599</v>
      </c>
    </row>
    <row r="95" spans="1:46">
      <c r="A95" s="3" t="s">
        <v>114</v>
      </c>
      <c r="B95" s="3">
        <v>548</v>
      </c>
      <c r="C95" s="3">
        <v>550</v>
      </c>
      <c r="D95" s="3">
        <f t="shared" si="3"/>
        <v>549</v>
      </c>
      <c r="E95" s="3">
        <v>0.32500000000000001</v>
      </c>
      <c r="F95" s="3">
        <v>1.0780000000000001</v>
      </c>
      <c r="G95" s="3" t="s">
        <v>245</v>
      </c>
      <c r="H95" s="3" t="s">
        <v>73</v>
      </c>
      <c r="I95" s="3">
        <v>15.981776093023599</v>
      </c>
      <c r="J95" s="3">
        <v>2.30910176969638</v>
      </c>
      <c r="K95" s="3">
        <v>-9.9275099378358503E-2</v>
      </c>
      <c r="L95" s="3">
        <v>0.98510803538152103</v>
      </c>
      <c r="M95" s="3"/>
      <c r="AN95" s="7" t="s">
        <v>302</v>
      </c>
      <c r="AO95">
        <f t="shared" si="2"/>
        <v>500</v>
      </c>
      <c r="AP95" s="7">
        <v>17.594000000000001</v>
      </c>
      <c r="AR95">
        <v>552.5</v>
      </c>
      <c r="AT95">
        <v>16.766632582301899</v>
      </c>
    </row>
    <row r="96" spans="1:46">
      <c r="A96" s="3" t="s">
        <v>115</v>
      </c>
      <c r="B96" s="3">
        <v>550</v>
      </c>
      <c r="C96" s="3">
        <v>555</v>
      </c>
      <c r="D96" s="3">
        <f t="shared" si="3"/>
        <v>552.5</v>
      </c>
      <c r="E96" s="3">
        <v>0.33800000000000002</v>
      </c>
      <c r="F96" s="3">
        <v>1.0109999999999999</v>
      </c>
      <c r="G96" s="3"/>
      <c r="H96" s="3" t="s">
        <v>73</v>
      </c>
      <c r="I96" s="3">
        <v>16.766632582301899</v>
      </c>
      <c r="J96" s="3">
        <v>2.44717425268438</v>
      </c>
      <c r="K96" s="3">
        <v>-9.8218768787062899E-2</v>
      </c>
      <c r="L96" s="3">
        <v>0.98386205095774704</v>
      </c>
      <c r="M96" s="3"/>
      <c r="AN96" s="2" t="s">
        <v>303</v>
      </c>
      <c r="AO96">
        <f t="shared" si="2"/>
        <v>505</v>
      </c>
      <c r="AP96" s="2">
        <v>18.715</v>
      </c>
      <c r="AR96">
        <v>557.5</v>
      </c>
      <c r="AT96">
        <v>18.359440745479201</v>
      </c>
    </row>
    <row r="97" spans="1:46">
      <c r="A97" s="3" t="s">
        <v>116</v>
      </c>
      <c r="B97" s="3">
        <v>555</v>
      </c>
      <c r="C97" s="3">
        <v>560</v>
      </c>
      <c r="D97" s="3">
        <f t="shared" si="3"/>
        <v>557.5</v>
      </c>
      <c r="E97" s="3">
        <v>0.38500000000000001</v>
      </c>
      <c r="F97" s="3">
        <v>1.056</v>
      </c>
      <c r="G97" s="3"/>
      <c r="H97" s="3" t="s">
        <v>73</v>
      </c>
      <c r="I97" s="3">
        <v>18.359440745479201</v>
      </c>
      <c r="J97" s="3">
        <v>2.4065783153543201</v>
      </c>
      <c r="K97" s="3">
        <v>-0.103089360783589</v>
      </c>
      <c r="L97" s="3">
        <v>1.0088133020936201</v>
      </c>
      <c r="M97" s="3"/>
      <c r="AN97" s="7" t="s">
        <v>304</v>
      </c>
      <c r="AO97">
        <f t="shared" si="2"/>
        <v>510</v>
      </c>
      <c r="AP97" s="7">
        <v>20.765999999999998</v>
      </c>
      <c r="AR97">
        <v>561</v>
      </c>
      <c r="AT97">
        <v>18.159044351525399</v>
      </c>
    </row>
    <row r="98" spans="1:46">
      <c r="A98" s="3" t="s">
        <v>117</v>
      </c>
      <c r="B98" s="3">
        <v>560</v>
      </c>
      <c r="C98" s="3">
        <v>562</v>
      </c>
      <c r="D98" s="3">
        <f t="shared" si="3"/>
        <v>561</v>
      </c>
      <c r="E98" s="3">
        <v>0.35199999999999998</v>
      </c>
      <c r="F98" s="3">
        <v>1.036</v>
      </c>
      <c r="G98" s="3"/>
      <c r="H98" s="3" t="s">
        <v>73</v>
      </c>
      <c r="I98" s="3">
        <v>18.159044351525399</v>
      </c>
      <c r="J98" s="3">
        <v>2.33590005888427</v>
      </c>
      <c r="K98" s="3">
        <v>-0.111397784509446</v>
      </c>
      <c r="L98" s="3">
        <v>1.0055530900201299</v>
      </c>
      <c r="M98" s="3"/>
      <c r="AN98" s="2" t="s">
        <v>305</v>
      </c>
      <c r="AO98">
        <f t="shared" si="2"/>
        <v>515</v>
      </c>
      <c r="AP98" s="2">
        <v>21.754999999999999</v>
      </c>
      <c r="AR98">
        <v>563</v>
      </c>
      <c r="AT98">
        <v>16.9119617808641</v>
      </c>
    </row>
    <row r="99" spans="1:46">
      <c r="A99" s="3" t="s">
        <v>118</v>
      </c>
      <c r="B99" s="3">
        <v>562</v>
      </c>
      <c r="C99" s="3">
        <v>564</v>
      </c>
      <c r="D99" s="3">
        <f t="shared" si="3"/>
        <v>563</v>
      </c>
      <c r="E99" s="3">
        <v>0.316</v>
      </c>
      <c r="F99" s="3">
        <v>1.046</v>
      </c>
      <c r="G99" s="3"/>
      <c r="H99" s="3" t="s">
        <v>73</v>
      </c>
      <c r="I99" s="3">
        <v>16.9119617808641</v>
      </c>
      <c r="J99" s="3">
        <v>2.3031186733618498</v>
      </c>
      <c r="K99" s="3">
        <v>-9.2824546803505506E-2</v>
      </c>
      <c r="L99" s="3">
        <v>0.98937296789280305</v>
      </c>
      <c r="M99" s="3"/>
      <c r="AN99" s="7" t="s">
        <v>306</v>
      </c>
      <c r="AO99">
        <f t="shared" si="2"/>
        <v>520</v>
      </c>
      <c r="AP99" s="7">
        <v>18.777999999999999</v>
      </c>
      <c r="AR99">
        <v>565</v>
      </c>
      <c r="AT99">
        <v>16.162098274513301</v>
      </c>
    </row>
    <row r="100" spans="1:46">
      <c r="A100" s="3" t="s">
        <v>119</v>
      </c>
      <c r="B100" s="3">
        <v>564</v>
      </c>
      <c r="C100" s="3">
        <v>566</v>
      </c>
      <c r="D100" s="3">
        <f t="shared" si="3"/>
        <v>565</v>
      </c>
      <c r="E100" s="3">
        <v>0.30099999999999999</v>
      </c>
      <c r="F100" s="3">
        <v>1.0720000000000001</v>
      </c>
      <c r="G100" s="3"/>
      <c r="H100" s="3" t="s">
        <v>73</v>
      </c>
      <c r="I100" s="3">
        <v>16.162098274513301</v>
      </c>
      <c r="J100" s="3">
        <v>2.2928794258629499</v>
      </c>
      <c r="K100" s="3">
        <v>-9.6009371054779705E-2</v>
      </c>
      <c r="L100" s="3">
        <v>0.98912515191186701</v>
      </c>
      <c r="M100" s="3"/>
      <c r="AN100" s="2" t="s">
        <v>307</v>
      </c>
      <c r="AO100">
        <f t="shared" si="2"/>
        <v>525</v>
      </c>
      <c r="AP100" s="2">
        <v>15.146000000000001</v>
      </c>
      <c r="AR100">
        <v>567</v>
      </c>
      <c r="AT100">
        <v>17.118300684150199</v>
      </c>
    </row>
    <row r="101" spans="1:46">
      <c r="A101" s="3" t="s">
        <v>120</v>
      </c>
      <c r="B101" s="3">
        <v>566</v>
      </c>
      <c r="C101" s="3">
        <v>568</v>
      </c>
      <c r="D101" s="3">
        <f t="shared" si="3"/>
        <v>567</v>
      </c>
      <c r="E101" s="3">
        <v>0.34200000000000003</v>
      </c>
      <c r="F101" s="3">
        <v>1.022</v>
      </c>
      <c r="G101" s="3"/>
      <c r="H101" s="3" t="s">
        <v>73</v>
      </c>
      <c r="I101" s="3">
        <v>17.118300684150199</v>
      </c>
      <c r="J101" s="3">
        <v>2.4385817420894802</v>
      </c>
      <c r="K101" s="3">
        <v>-8.1267138900740304E-2</v>
      </c>
      <c r="L101" s="3">
        <v>0.99466612095019402</v>
      </c>
      <c r="M101" s="3"/>
      <c r="AN101" s="7" t="s">
        <v>308</v>
      </c>
      <c r="AO101">
        <f t="shared" si="2"/>
        <v>530</v>
      </c>
      <c r="AP101" s="7">
        <v>17.125</v>
      </c>
      <c r="AR101">
        <v>569</v>
      </c>
      <c r="AT101">
        <v>16.778586086804498</v>
      </c>
    </row>
    <row r="102" spans="1:46">
      <c r="A102" s="3" t="s">
        <v>121</v>
      </c>
      <c r="B102" s="3">
        <v>568</v>
      </c>
      <c r="C102" s="3">
        <v>570</v>
      </c>
      <c r="D102" s="3">
        <f t="shared" si="3"/>
        <v>569</v>
      </c>
      <c r="E102" s="3">
        <v>0.32500000000000001</v>
      </c>
      <c r="F102" s="3">
        <v>1.028</v>
      </c>
      <c r="G102" s="3"/>
      <c r="H102" s="3" t="s">
        <v>73</v>
      </c>
      <c r="I102" s="3">
        <v>16.778586086804498</v>
      </c>
      <c r="J102" s="3">
        <v>2.4870120469668699</v>
      </c>
      <c r="K102" s="3">
        <v>-7.4722055593246295E-2</v>
      </c>
      <c r="L102" s="3">
        <v>0.996448481250095</v>
      </c>
      <c r="M102" s="3"/>
      <c r="AN102" s="2" t="s">
        <v>309</v>
      </c>
      <c r="AO102">
        <f t="shared" si="2"/>
        <v>535</v>
      </c>
      <c r="AP102" s="2">
        <v>17.058</v>
      </c>
      <c r="AR102">
        <v>572.5</v>
      </c>
      <c r="AT102">
        <v>16.537470431516802</v>
      </c>
    </row>
    <row r="103" spans="1:46">
      <c r="A103" s="3" t="s">
        <v>122</v>
      </c>
      <c r="B103" s="3">
        <v>570</v>
      </c>
      <c r="C103" s="3">
        <v>575</v>
      </c>
      <c r="D103" s="3">
        <f t="shared" si="3"/>
        <v>572.5</v>
      </c>
      <c r="E103" s="3">
        <v>0.35499999999999998</v>
      </c>
      <c r="F103" s="3">
        <v>1.07</v>
      </c>
      <c r="G103" s="3"/>
      <c r="H103" s="3" t="s">
        <v>73</v>
      </c>
      <c r="I103" s="3">
        <v>16.537470431516802</v>
      </c>
      <c r="J103" s="3">
        <v>2.5073601431375701</v>
      </c>
      <c r="K103" s="3">
        <v>-7.05000388468425E-2</v>
      </c>
      <c r="L103" s="3">
        <v>1.00441871610474</v>
      </c>
      <c r="M103" s="3"/>
      <c r="AN103" s="7" t="s">
        <v>310</v>
      </c>
      <c r="AO103">
        <f t="shared" si="2"/>
        <v>540</v>
      </c>
      <c r="AP103" s="7">
        <v>17.061</v>
      </c>
      <c r="AR103">
        <v>577.5</v>
      </c>
      <c r="AT103">
        <v>16.7912604979498</v>
      </c>
    </row>
    <row r="104" spans="1:46">
      <c r="A104" s="3" t="s">
        <v>123</v>
      </c>
      <c r="B104" s="3">
        <v>575</v>
      </c>
      <c r="C104" s="3">
        <v>580</v>
      </c>
      <c r="D104" s="3">
        <f t="shared" si="3"/>
        <v>577.5</v>
      </c>
      <c r="E104" s="3">
        <v>0.375</v>
      </c>
      <c r="F104" s="3">
        <v>1.048</v>
      </c>
      <c r="G104" s="3"/>
      <c r="H104" s="3" t="s">
        <v>73</v>
      </c>
      <c r="I104" s="3">
        <v>16.7912604979498</v>
      </c>
      <c r="J104" s="3">
        <v>2.3204521903403901</v>
      </c>
      <c r="K104" s="3">
        <v>-7.9177771504777006E-2</v>
      </c>
      <c r="L104" s="3">
        <v>1.0078063496935401</v>
      </c>
      <c r="M104" s="3"/>
      <c r="AN104" s="2" t="s">
        <v>311</v>
      </c>
      <c r="AO104">
        <f t="shared" si="2"/>
        <v>545</v>
      </c>
      <c r="AP104" s="2">
        <v>16.859000000000002</v>
      </c>
      <c r="AR104">
        <v>582.5</v>
      </c>
      <c r="AT104">
        <v>16.941465070359701</v>
      </c>
    </row>
    <row r="105" spans="1:46">
      <c r="A105" s="3" t="s">
        <v>124</v>
      </c>
      <c r="B105" s="3">
        <v>580</v>
      </c>
      <c r="C105" s="3">
        <v>585</v>
      </c>
      <c r="D105" s="3">
        <f t="shared" si="3"/>
        <v>582.5</v>
      </c>
      <c r="E105" s="3">
        <v>0.32700000000000001</v>
      </c>
      <c r="F105" s="3">
        <v>1.01</v>
      </c>
      <c r="G105" s="3"/>
      <c r="H105" s="3" t="s">
        <v>73</v>
      </c>
      <c r="I105" s="3">
        <v>16.941465070359701</v>
      </c>
      <c r="J105" s="3">
        <v>2.4242855473403702</v>
      </c>
      <c r="K105" s="3">
        <v>-6.0564094748027701E-2</v>
      </c>
      <c r="L105" s="3">
        <v>1.0129129401172501</v>
      </c>
      <c r="M105" s="3"/>
      <c r="AN105" s="7" t="s">
        <v>312</v>
      </c>
      <c r="AO105">
        <f t="shared" si="2"/>
        <v>550</v>
      </c>
      <c r="AP105" s="7">
        <v>13.69</v>
      </c>
      <c r="AR105">
        <v>587.5</v>
      </c>
      <c r="AT105">
        <v>17.2830128167145</v>
      </c>
    </row>
    <row r="106" spans="1:46">
      <c r="A106" s="3" t="s">
        <v>125</v>
      </c>
      <c r="B106" s="3">
        <v>585</v>
      </c>
      <c r="C106" s="3">
        <v>590</v>
      </c>
      <c r="D106" s="3">
        <f t="shared" si="3"/>
        <v>587.5</v>
      </c>
      <c r="E106" s="3">
        <v>0.32200000000000001</v>
      </c>
      <c r="F106" s="3">
        <v>1.0580000000000001</v>
      </c>
      <c r="G106" s="3"/>
      <c r="H106" s="3" t="s">
        <v>73</v>
      </c>
      <c r="I106" s="3">
        <v>17.2830128167145</v>
      </c>
      <c r="J106" s="3">
        <v>2.3094252826072399</v>
      </c>
      <c r="K106" s="3">
        <v>-7.9731376423828201E-2</v>
      </c>
      <c r="L106" s="3">
        <v>0.99891502785893005</v>
      </c>
      <c r="M106" s="3"/>
      <c r="AN106" s="2" t="s">
        <v>313</v>
      </c>
      <c r="AO106">
        <f t="shared" si="2"/>
        <v>555</v>
      </c>
      <c r="AP106" s="2">
        <v>17.256</v>
      </c>
      <c r="AR106">
        <v>605</v>
      </c>
      <c r="AT106">
        <v>17.281760182079701</v>
      </c>
    </row>
    <row r="107" spans="1:46">
      <c r="A107" s="3" t="s">
        <v>126</v>
      </c>
      <c r="B107" s="3">
        <v>600</v>
      </c>
      <c r="C107" s="3">
        <v>610</v>
      </c>
      <c r="D107" s="3">
        <f t="shared" si="3"/>
        <v>605</v>
      </c>
      <c r="E107" s="3">
        <v>0.39200000000000002</v>
      </c>
      <c r="F107" s="3">
        <v>1.0509999999999999</v>
      </c>
      <c r="G107" s="3"/>
      <c r="H107" s="3" t="s">
        <v>73</v>
      </c>
      <c r="I107" s="3">
        <v>17.281760182079701</v>
      </c>
      <c r="J107" s="3">
        <v>2.55294767879177</v>
      </c>
      <c r="K107" s="3">
        <v>-7.9234888448416294E-2</v>
      </c>
      <c r="L107" s="3">
        <v>0.98682777576121405</v>
      </c>
      <c r="M107" s="3"/>
      <c r="AN107" s="7" t="s">
        <v>314</v>
      </c>
      <c r="AO107">
        <f t="shared" si="2"/>
        <v>560</v>
      </c>
      <c r="AP107" s="7">
        <v>18.317</v>
      </c>
      <c r="AR107">
        <v>615</v>
      </c>
      <c r="AT107">
        <v>17.864975409262001</v>
      </c>
    </row>
    <row r="108" spans="1:46">
      <c r="A108" s="3" t="s">
        <v>127</v>
      </c>
      <c r="B108" s="3">
        <v>610</v>
      </c>
      <c r="C108" s="3">
        <v>620</v>
      </c>
      <c r="D108" s="3">
        <f t="shared" si="3"/>
        <v>615</v>
      </c>
      <c r="E108" s="3">
        <v>0.35499999999999998</v>
      </c>
      <c r="F108" s="3">
        <v>1.0169999999999999</v>
      </c>
      <c r="G108" s="3"/>
      <c r="H108" s="3" t="s">
        <v>73</v>
      </c>
      <c r="I108" s="3">
        <v>17.864975409262001</v>
      </c>
      <c r="J108" s="3">
        <v>2.3600132823978099</v>
      </c>
      <c r="K108" s="3">
        <v>-8.5508496230641898E-2</v>
      </c>
      <c r="L108" s="3">
        <v>1.01305761642814</v>
      </c>
      <c r="M108" s="3"/>
      <c r="AN108" s="2" t="s">
        <v>315</v>
      </c>
      <c r="AO108">
        <f t="shared" si="2"/>
        <v>565</v>
      </c>
      <c r="AP108" s="2">
        <v>17.393999999999998</v>
      </c>
      <c r="AR108">
        <v>625</v>
      </c>
      <c r="AT108">
        <v>9.1624778973578795</v>
      </c>
    </row>
    <row r="109" spans="1:46">
      <c r="A109" s="3" t="s">
        <v>128</v>
      </c>
      <c r="B109" s="3">
        <v>620</v>
      </c>
      <c r="C109" s="3">
        <v>630</v>
      </c>
      <c r="D109" s="3">
        <f t="shared" si="3"/>
        <v>625</v>
      </c>
      <c r="E109" s="3">
        <v>0.311</v>
      </c>
      <c r="F109" s="3">
        <v>1.014</v>
      </c>
      <c r="G109" s="3"/>
      <c r="H109" s="3" t="s">
        <v>73</v>
      </c>
      <c r="I109" s="3">
        <v>9.1624778973578795</v>
      </c>
      <c r="J109" s="3">
        <v>1.72899383565874</v>
      </c>
      <c r="K109" s="3">
        <v>-0.223679817223881</v>
      </c>
      <c r="L109" s="3">
        <v>1.07781885921554</v>
      </c>
      <c r="M109" s="3"/>
      <c r="AN109" s="7" t="s">
        <v>316</v>
      </c>
      <c r="AO109">
        <f t="shared" si="2"/>
        <v>570</v>
      </c>
      <c r="AP109" s="7">
        <v>18.911000000000001</v>
      </c>
      <c r="AR109">
        <v>635</v>
      </c>
      <c r="AT109">
        <v>16.682755289206298</v>
      </c>
    </row>
    <row r="110" spans="1:46">
      <c r="A110" s="3" t="s">
        <v>129</v>
      </c>
      <c r="B110" s="3">
        <v>630</v>
      </c>
      <c r="C110" s="3">
        <v>640</v>
      </c>
      <c r="D110" s="3">
        <f t="shared" si="3"/>
        <v>635</v>
      </c>
      <c r="E110" s="3">
        <v>0.32700000000000001</v>
      </c>
      <c r="F110" s="3">
        <v>1.014</v>
      </c>
      <c r="G110" s="3"/>
      <c r="H110" s="3" t="s">
        <v>73</v>
      </c>
      <c r="I110" s="3">
        <v>16.682755289206298</v>
      </c>
      <c r="J110" s="3">
        <v>2.6648460423019902</v>
      </c>
      <c r="K110" s="3">
        <v>-5.00726658291629E-2</v>
      </c>
      <c r="L110" s="3">
        <v>0.97891507513473397</v>
      </c>
      <c r="M110" s="3"/>
      <c r="AN110" s="2" t="s">
        <v>317</v>
      </c>
      <c r="AO110">
        <f t="shared" si="2"/>
        <v>575</v>
      </c>
      <c r="AP110" s="2">
        <v>19.042999999999999</v>
      </c>
      <c r="AR110">
        <v>645</v>
      </c>
      <c r="AT110">
        <v>17.688692455535399</v>
      </c>
    </row>
    <row r="111" spans="1:46">
      <c r="A111" s="3" t="s">
        <v>130</v>
      </c>
      <c r="B111" s="3">
        <v>640</v>
      </c>
      <c r="C111" s="3">
        <v>650</v>
      </c>
      <c r="D111" s="3">
        <f t="shared" si="3"/>
        <v>645</v>
      </c>
      <c r="E111" s="3">
        <v>0.36</v>
      </c>
      <c r="F111" s="3">
        <v>1.0309999999999999</v>
      </c>
      <c r="G111" s="3"/>
      <c r="H111" s="3" t="s">
        <v>73</v>
      </c>
      <c r="I111" s="3">
        <v>17.688692455535399</v>
      </c>
      <c r="J111" s="3">
        <v>2.5014687814443701</v>
      </c>
      <c r="K111" s="3">
        <v>-6.5979772891253494E-2</v>
      </c>
      <c r="L111" s="3">
        <v>1.0082364264793999</v>
      </c>
      <c r="M111" s="3"/>
      <c r="AN111" s="7" t="s">
        <v>318</v>
      </c>
      <c r="AO111">
        <f t="shared" si="2"/>
        <v>580</v>
      </c>
      <c r="AP111" s="7">
        <v>17.654</v>
      </c>
      <c r="AR111">
        <v>655</v>
      </c>
      <c r="AT111">
        <v>17.888834142239698</v>
      </c>
    </row>
    <row r="112" spans="1:46">
      <c r="A112" s="3" t="s">
        <v>131</v>
      </c>
      <c r="B112" s="3">
        <v>650</v>
      </c>
      <c r="C112" s="3">
        <v>660</v>
      </c>
      <c r="D112" s="3">
        <f t="shared" si="3"/>
        <v>655</v>
      </c>
      <c r="E112" s="3">
        <v>0.313</v>
      </c>
      <c r="F112" s="3">
        <v>1.091</v>
      </c>
      <c r="G112" s="3"/>
      <c r="H112" s="3" t="s">
        <v>73</v>
      </c>
      <c r="I112" s="3">
        <v>17.888834142239698</v>
      </c>
      <c r="J112" s="3">
        <v>2.4410123599096201</v>
      </c>
      <c r="K112" s="3">
        <v>-5.9446689776623499E-2</v>
      </c>
      <c r="L112" s="3">
        <v>1.0126402064686599</v>
      </c>
      <c r="M112" s="3"/>
      <c r="AN112" s="2" t="s">
        <v>319</v>
      </c>
      <c r="AO112">
        <f t="shared" si="2"/>
        <v>585</v>
      </c>
      <c r="AP112" s="2">
        <v>17.664000000000001</v>
      </c>
      <c r="AR112">
        <v>665</v>
      </c>
      <c r="AT112">
        <v>16.973751543151899</v>
      </c>
    </row>
    <row r="113" spans="1:46">
      <c r="A113" s="3" t="s">
        <v>132</v>
      </c>
      <c r="B113" s="3">
        <v>660</v>
      </c>
      <c r="C113" s="3">
        <v>670</v>
      </c>
      <c r="D113" s="3">
        <f t="shared" si="3"/>
        <v>665</v>
      </c>
      <c r="E113" s="3">
        <v>0.38400000000000001</v>
      </c>
      <c r="F113" s="3">
        <v>1.042</v>
      </c>
      <c r="G113" s="3"/>
      <c r="H113" s="3" t="s">
        <v>73</v>
      </c>
      <c r="I113" s="3">
        <v>16.973751543151899</v>
      </c>
      <c r="J113" s="3">
        <v>2.5093620793118601</v>
      </c>
      <c r="K113" s="3">
        <v>-2.7468377612919599E-2</v>
      </c>
      <c r="L113" s="3">
        <v>0.98460270701633701</v>
      </c>
      <c r="M113" s="3"/>
      <c r="AN113" s="7" t="s">
        <v>320</v>
      </c>
      <c r="AO113">
        <f t="shared" si="2"/>
        <v>590</v>
      </c>
      <c r="AP113" s="7">
        <v>16.736000000000001</v>
      </c>
      <c r="AR113">
        <v>675</v>
      </c>
      <c r="AT113">
        <v>22.807820739988401</v>
      </c>
    </row>
    <row r="114" spans="1:46">
      <c r="A114" s="3" t="s">
        <v>133</v>
      </c>
      <c r="B114" s="3">
        <v>670</v>
      </c>
      <c r="C114" s="3">
        <v>680</v>
      </c>
      <c r="D114" s="3">
        <f t="shared" si="3"/>
        <v>675</v>
      </c>
      <c r="E114" s="3">
        <v>0.32800000000000001</v>
      </c>
      <c r="F114" s="3">
        <v>1.0329999999999999</v>
      </c>
      <c r="G114" s="3"/>
      <c r="H114" s="3" t="s">
        <v>73</v>
      </c>
      <c r="I114" s="3">
        <v>22.807820739988401</v>
      </c>
      <c r="J114" s="3">
        <v>2.2009202103672401</v>
      </c>
      <c r="K114" s="3">
        <v>-9.0315338549040294E-2</v>
      </c>
      <c r="L114" s="3">
        <v>1.00674456443347</v>
      </c>
      <c r="M114" s="3"/>
      <c r="AN114" s="2" t="s">
        <v>321</v>
      </c>
      <c r="AO114">
        <f t="shared" si="2"/>
        <v>595</v>
      </c>
      <c r="AP114" s="2">
        <v>15.94</v>
      </c>
      <c r="AR114">
        <v>685</v>
      </c>
      <c r="AT114">
        <v>25.335658313139898</v>
      </c>
    </row>
    <row r="115" spans="1:46">
      <c r="A115" s="3" t="s">
        <v>134</v>
      </c>
      <c r="B115" s="3">
        <v>680</v>
      </c>
      <c r="C115" s="3">
        <v>690</v>
      </c>
      <c r="D115" s="3">
        <f t="shared" si="3"/>
        <v>685</v>
      </c>
      <c r="E115" s="3">
        <v>0.32800000000000001</v>
      </c>
      <c r="F115" s="3">
        <v>1.0529999999999999</v>
      </c>
      <c r="G115" s="3"/>
      <c r="H115" s="3" t="s">
        <v>73</v>
      </c>
      <c r="I115" s="3">
        <v>25.335658313139898</v>
      </c>
      <c r="J115" s="3">
        <v>2.3063899480321202</v>
      </c>
      <c r="K115" s="3">
        <v>-0.122565207972297</v>
      </c>
      <c r="L115" s="3">
        <v>1.01529562160688</v>
      </c>
      <c r="M115" s="3"/>
      <c r="AN115" s="7" t="s">
        <v>322</v>
      </c>
      <c r="AO115">
        <f t="shared" si="2"/>
        <v>600</v>
      </c>
      <c r="AP115" s="7">
        <v>16.472000000000001</v>
      </c>
      <c r="AR115">
        <v>695</v>
      </c>
      <c r="AT115">
        <v>24.417958458319799</v>
      </c>
    </row>
    <row r="116" spans="1:46">
      <c r="A116" s="3" t="s">
        <v>135</v>
      </c>
      <c r="B116" s="3">
        <v>690</v>
      </c>
      <c r="C116" s="3">
        <v>700</v>
      </c>
      <c r="D116" s="3">
        <f t="shared" si="3"/>
        <v>695</v>
      </c>
      <c r="E116" s="3">
        <v>0.316</v>
      </c>
      <c r="F116" s="3">
        <v>1.052</v>
      </c>
      <c r="G116" s="3"/>
      <c r="H116" s="3" t="s">
        <v>73</v>
      </c>
      <c r="I116" s="3">
        <v>24.417958458319799</v>
      </c>
      <c r="J116" s="3">
        <v>2.28299476667571</v>
      </c>
      <c r="K116" s="3">
        <v>-8.7042518057297194E-2</v>
      </c>
      <c r="L116" s="3">
        <v>0.99721690115768002</v>
      </c>
      <c r="M116" s="3"/>
      <c r="AN116" s="2" t="s">
        <v>323</v>
      </c>
      <c r="AO116">
        <f t="shared" si="2"/>
        <v>605</v>
      </c>
      <c r="AP116" s="2">
        <v>16.600999999999999</v>
      </c>
      <c r="AR116">
        <v>705</v>
      </c>
      <c r="AT116">
        <v>32.397541964260199</v>
      </c>
    </row>
    <row r="117" spans="1:46">
      <c r="A117" s="3" t="s">
        <v>136</v>
      </c>
      <c r="B117" s="3">
        <v>700</v>
      </c>
      <c r="C117" s="3">
        <v>710</v>
      </c>
      <c r="D117" s="3">
        <f t="shared" si="3"/>
        <v>705</v>
      </c>
      <c r="E117" s="3">
        <v>0.33800000000000002</v>
      </c>
      <c r="F117" s="3">
        <v>1.081</v>
      </c>
      <c r="G117" s="3"/>
      <c r="H117" s="3" t="s">
        <v>73</v>
      </c>
      <c r="I117" s="3">
        <v>32.397541964260199</v>
      </c>
      <c r="J117" s="3">
        <v>2.3380539385629699</v>
      </c>
      <c r="K117" s="3">
        <v>-0.14059612710243699</v>
      </c>
      <c r="L117" s="3">
        <v>1.0004598906815001</v>
      </c>
      <c r="M117" s="3"/>
      <c r="AN117" s="7" t="s">
        <v>324</v>
      </c>
      <c r="AO117">
        <f t="shared" si="2"/>
        <v>610</v>
      </c>
      <c r="AP117" s="7">
        <v>17.795999999999999</v>
      </c>
      <c r="AR117">
        <v>715</v>
      </c>
      <c r="AT117">
        <v>33.748075281126802</v>
      </c>
    </row>
    <row r="118" spans="1:46">
      <c r="A118" s="3" t="s">
        <v>137</v>
      </c>
      <c r="B118" s="3">
        <v>710</v>
      </c>
      <c r="C118" s="3">
        <v>720</v>
      </c>
      <c r="D118" s="3">
        <f t="shared" si="3"/>
        <v>715</v>
      </c>
      <c r="E118" s="3">
        <v>0.33</v>
      </c>
      <c r="F118" s="3">
        <v>1.0489999999999999</v>
      </c>
      <c r="G118" s="3"/>
      <c r="H118" s="3" t="s">
        <v>73</v>
      </c>
      <c r="I118" s="3">
        <v>33.748075281126802</v>
      </c>
      <c r="J118" s="3">
        <v>2.3757972370120801</v>
      </c>
      <c r="K118" s="3">
        <v>-0.156394996832251</v>
      </c>
      <c r="L118" s="3">
        <v>1.0024245975427399</v>
      </c>
      <c r="M118" s="3"/>
      <c r="AN118" s="2" t="s">
        <v>325</v>
      </c>
      <c r="AO118">
        <f t="shared" si="2"/>
        <v>615</v>
      </c>
      <c r="AP118" s="2">
        <v>15.347</v>
      </c>
      <c r="AR118">
        <v>725</v>
      </c>
      <c r="AT118">
        <v>30.2376406915212</v>
      </c>
    </row>
    <row r="119" spans="1:46">
      <c r="A119" s="3" t="s">
        <v>138</v>
      </c>
      <c r="B119" s="3">
        <v>720</v>
      </c>
      <c r="C119" s="3">
        <v>730</v>
      </c>
      <c r="D119" s="3">
        <f t="shared" si="3"/>
        <v>725</v>
      </c>
      <c r="E119" s="3">
        <v>0.318</v>
      </c>
      <c r="F119" s="3">
        <v>1.0209999999999999</v>
      </c>
      <c r="G119" s="3"/>
      <c r="H119" s="3" t="s">
        <v>73</v>
      </c>
      <c r="I119" s="3">
        <v>30.2376406915212</v>
      </c>
      <c r="J119" s="3">
        <v>2.43861109636117</v>
      </c>
      <c r="K119" s="3">
        <v>-0.12956893531272901</v>
      </c>
      <c r="L119" s="3">
        <v>0.976373081130675</v>
      </c>
      <c r="M119" s="3"/>
      <c r="AN119" s="7" t="s">
        <v>326</v>
      </c>
      <c r="AO119">
        <f t="shared" si="2"/>
        <v>620</v>
      </c>
      <c r="AP119" s="7">
        <v>15.808</v>
      </c>
      <c r="AR119">
        <v>735</v>
      </c>
      <c r="AT119">
        <v>35.433616359316197</v>
      </c>
    </row>
    <row r="120" spans="1:46">
      <c r="A120" s="3" t="s">
        <v>139</v>
      </c>
      <c r="B120" s="3">
        <v>730</v>
      </c>
      <c r="C120" s="3">
        <v>740</v>
      </c>
      <c r="D120" s="3">
        <f t="shared" si="3"/>
        <v>735</v>
      </c>
      <c r="E120" s="3">
        <v>0.30399999999999999</v>
      </c>
      <c r="F120" s="3">
        <v>1.0049999999999999</v>
      </c>
      <c r="G120" s="3"/>
      <c r="H120" s="3" t="s">
        <v>73</v>
      </c>
      <c r="I120" s="3">
        <v>35.433616359316197</v>
      </c>
      <c r="J120" s="3">
        <v>2.3769950822562902</v>
      </c>
      <c r="K120" s="3">
        <v>-0.18022246941797901</v>
      </c>
      <c r="L120" s="3">
        <v>1.0105300319519701</v>
      </c>
      <c r="M120" s="3"/>
      <c r="AN120" s="2" t="s">
        <v>327</v>
      </c>
      <c r="AO120">
        <f t="shared" si="2"/>
        <v>625</v>
      </c>
      <c r="AP120" s="2">
        <v>16.338999999999999</v>
      </c>
      <c r="AR120">
        <v>745</v>
      </c>
      <c r="AT120">
        <v>30.708605030003799</v>
      </c>
    </row>
    <row r="121" spans="1:46">
      <c r="A121" s="3" t="s">
        <v>140</v>
      </c>
      <c r="B121" s="3">
        <v>740</v>
      </c>
      <c r="C121" s="3">
        <v>750</v>
      </c>
      <c r="D121" s="3">
        <f t="shared" si="3"/>
        <v>745</v>
      </c>
      <c r="E121" s="3">
        <v>0.35799999999999998</v>
      </c>
      <c r="F121" s="3">
        <v>1.091</v>
      </c>
      <c r="G121" s="3"/>
      <c r="H121" s="3" t="s">
        <v>73</v>
      </c>
      <c r="I121" s="3">
        <v>30.708605030003799</v>
      </c>
      <c r="J121" s="3">
        <v>2.3344557664267498</v>
      </c>
      <c r="K121" s="3">
        <v>-0.15061561502681101</v>
      </c>
      <c r="L121" s="3">
        <v>1.0064963198553201</v>
      </c>
      <c r="M121" s="3"/>
      <c r="AN121" s="7" t="s">
        <v>328</v>
      </c>
      <c r="AO121">
        <f t="shared" si="2"/>
        <v>630</v>
      </c>
      <c r="AP121" s="7">
        <v>17.196999999999999</v>
      </c>
      <c r="AR121">
        <v>755</v>
      </c>
      <c r="AT121">
        <v>29.677911541480299</v>
      </c>
    </row>
    <row r="122" spans="1:46">
      <c r="A122" s="3" t="s">
        <v>141</v>
      </c>
      <c r="B122" s="3">
        <v>750</v>
      </c>
      <c r="C122" s="3">
        <v>760</v>
      </c>
      <c r="D122" s="3">
        <f t="shared" si="3"/>
        <v>755</v>
      </c>
      <c r="E122" s="3">
        <v>0.33300000000000002</v>
      </c>
      <c r="F122" s="3">
        <v>1.0189999999999999</v>
      </c>
      <c r="G122" s="3"/>
      <c r="H122" s="3" t="s">
        <v>73</v>
      </c>
      <c r="I122" s="3">
        <v>29.677911541480299</v>
      </c>
      <c r="J122" s="3">
        <v>2.2708844428649799</v>
      </c>
      <c r="K122" s="3">
        <v>-0.14363123443190301</v>
      </c>
      <c r="L122" s="3">
        <v>1.0272394443551001</v>
      </c>
      <c r="M122" s="3"/>
      <c r="AN122" s="2" t="s">
        <v>329</v>
      </c>
      <c r="AO122">
        <f t="shared" si="2"/>
        <v>635</v>
      </c>
      <c r="AP122" s="2">
        <v>18.646999999999998</v>
      </c>
      <c r="AR122">
        <v>765</v>
      </c>
      <c r="AT122">
        <v>31.5422132331623</v>
      </c>
    </row>
    <row r="123" spans="1:46">
      <c r="A123" s="3" t="s">
        <v>142</v>
      </c>
      <c r="B123" s="3">
        <v>760</v>
      </c>
      <c r="C123" s="3">
        <v>770</v>
      </c>
      <c r="D123" s="3">
        <f t="shared" si="3"/>
        <v>765</v>
      </c>
      <c r="E123" s="3">
        <v>0.32700000000000001</v>
      </c>
      <c r="F123" s="3">
        <v>1.081</v>
      </c>
      <c r="G123" s="3"/>
      <c r="H123" s="3" t="s">
        <v>73</v>
      </c>
      <c r="I123" s="3">
        <v>31.5422132331623</v>
      </c>
      <c r="J123" s="3">
        <v>2.3289030295820998</v>
      </c>
      <c r="K123" s="3">
        <v>-0.159818711335622</v>
      </c>
      <c r="L123" s="3">
        <v>1.0243068619270199</v>
      </c>
      <c r="M123" s="3"/>
      <c r="AN123" s="7" t="s">
        <v>330</v>
      </c>
      <c r="AO123">
        <f t="shared" si="2"/>
        <v>640</v>
      </c>
      <c r="AP123" s="7">
        <v>20.167000000000002</v>
      </c>
      <c r="AR123">
        <v>775</v>
      </c>
      <c r="AT123">
        <v>28.727406959219</v>
      </c>
    </row>
    <row r="124" spans="1:46">
      <c r="A124" s="3" t="s">
        <v>143</v>
      </c>
      <c r="B124" s="3">
        <v>770</v>
      </c>
      <c r="C124" s="3">
        <v>780</v>
      </c>
      <c r="D124" s="3">
        <f t="shared" si="3"/>
        <v>775</v>
      </c>
      <c r="E124" s="3">
        <v>0.39800000000000002</v>
      </c>
      <c r="F124" s="3">
        <v>1</v>
      </c>
      <c r="G124" s="3"/>
      <c r="H124" s="3" t="s">
        <v>73</v>
      </c>
      <c r="I124" s="3">
        <v>28.727406959219</v>
      </c>
      <c r="J124" s="3">
        <v>2.2764505655952298</v>
      </c>
      <c r="K124" s="3">
        <v>-0.129347352675207</v>
      </c>
      <c r="L124" s="3">
        <v>1.01550407455606</v>
      </c>
      <c r="M124" s="3"/>
      <c r="AN124" s="2" t="s">
        <v>331</v>
      </c>
      <c r="AO124">
        <f t="shared" si="2"/>
        <v>645</v>
      </c>
      <c r="AP124" s="2">
        <v>18.379000000000001</v>
      </c>
      <c r="AR124">
        <v>785</v>
      </c>
      <c r="AT124">
        <v>30.775195262652399</v>
      </c>
    </row>
    <row r="125" spans="1:46">
      <c r="A125" s="3" t="s">
        <v>144</v>
      </c>
      <c r="B125" s="3">
        <v>780</v>
      </c>
      <c r="C125" s="3">
        <v>790</v>
      </c>
      <c r="D125" s="3">
        <f t="shared" si="3"/>
        <v>785</v>
      </c>
      <c r="E125" s="3">
        <v>0.35499999999999998</v>
      </c>
      <c r="F125" s="3">
        <v>1.0589999999999999</v>
      </c>
      <c r="G125" s="3"/>
      <c r="H125" s="3" t="s">
        <v>73</v>
      </c>
      <c r="I125" s="3">
        <v>30.775195262652399</v>
      </c>
      <c r="J125" s="3">
        <v>2.3775213768022398</v>
      </c>
      <c r="K125" s="3">
        <v>-0.16187165775917201</v>
      </c>
      <c r="L125" s="3">
        <v>1.0150986245562099</v>
      </c>
      <c r="M125" s="3"/>
      <c r="AN125" s="7" t="s">
        <v>332</v>
      </c>
      <c r="AO125">
        <f t="shared" si="2"/>
        <v>650</v>
      </c>
      <c r="AP125" s="7">
        <v>21.823</v>
      </c>
      <c r="AR125">
        <v>795</v>
      </c>
      <c r="AT125">
        <v>30.6476386858801</v>
      </c>
    </row>
    <row r="126" spans="1:46">
      <c r="A126" s="3" t="s">
        <v>145</v>
      </c>
      <c r="B126" s="3">
        <v>790</v>
      </c>
      <c r="C126" s="3">
        <v>800</v>
      </c>
      <c r="D126" s="3">
        <f t="shared" si="3"/>
        <v>795</v>
      </c>
      <c r="E126" s="3">
        <v>0.33500000000000002</v>
      </c>
      <c r="F126" s="3">
        <v>1.034</v>
      </c>
      <c r="G126" s="3"/>
      <c r="H126" s="3" t="s">
        <v>73</v>
      </c>
      <c r="I126" s="3">
        <v>30.6476386858801</v>
      </c>
      <c r="J126" s="3">
        <v>2.2485173249505102</v>
      </c>
      <c r="K126" s="3">
        <v>-0.151806648278004</v>
      </c>
      <c r="L126" s="3">
        <v>1.03377807067828</v>
      </c>
      <c r="M126" s="3"/>
      <c r="AN126" s="2" t="s">
        <v>333</v>
      </c>
      <c r="AO126">
        <f t="shared" si="2"/>
        <v>655</v>
      </c>
      <c r="AP126" s="2">
        <v>23.471</v>
      </c>
      <c r="AR126">
        <v>805</v>
      </c>
      <c r="AT126">
        <v>30.3132739695948</v>
      </c>
    </row>
    <row r="127" spans="1:46">
      <c r="A127" s="3" t="s">
        <v>146</v>
      </c>
      <c r="B127" s="3">
        <v>800</v>
      </c>
      <c r="C127" s="3">
        <v>810</v>
      </c>
      <c r="D127" s="3">
        <f t="shared" si="3"/>
        <v>805</v>
      </c>
      <c r="E127" s="3">
        <v>0.307</v>
      </c>
      <c r="F127" s="3">
        <v>1.071</v>
      </c>
      <c r="G127" s="3"/>
      <c r="H127" s="3" t="s">
        <v>73</v>
      </c>
      <c r="I127" s="3">
        <v>30.3132739695948</v>
      </c>
      <c r="J127" s="3">
        <v>2.2472858096547399</v>
      </c>
      <c r="K127" s="3">
        <v>-0.14513883514885201</v>
      </c>
      <c r="L127" s="3">
        <v>1.02372630579297</v>
      </c>
      <c r="M127" s="3"/>
      <c r="AN127" s="7" t="s">
        <v>334</v>
      </c>
      <c r="AO127">
        <f t="shared" si="2"/>
        <v>660</v>
      </c>
      <c r="AP127" s="7">
        <v>24.396999999999998</v>
      </c>
      <c r="AR127">
        <v>815</v>
      </c>
      <c r="AT127">
        <v>23.255471503231298</v>
      </c>
    </row>
    <row r="128" spans="1:46">
      <c r="A128" s="3" t="s">
        <v>147</v>
      </c>
      <c r="B128" s="3">
        <v>810</v>
      </c>
      <c r="C128" s="3">
        <v>820</v>
      </c>
      <c r="D128" s="3">
        <f t="shared" si="3"/>
        <v>815</v>
      </c>
      <c r="E128" s="3">
        <v>0.38500000000000001</v>
      </c>
      <c r="F128" s="3">
        <v>1.0980000000000001</v>
      </c>
      <c r="G128" s="3"/>
      <c r="H128" s="3" t="s">
        <v>73</v>
      </c>
      <c r="I128" s="3">
        <v>23.255471503231298</v>
      </c>
      <c r="J128" s="3">
        <v>2.2848202358546099</v>
      </c>
      <c r="K128" s="3">
        <v>-8.4320831603835494E-2</v>
      </c>
      <c r="L128" s="3">
        <v>0.99931804632252696</v>
      </c>
      <c r="M128" s="3"/>
      <c r="AN128" s="2" t="s">
        <v>335</v>
      </c>
      <c r="AO128">
        <f t="shared" si="2"/>
        <v>665</v>
      </c>
      <c r="AP128" s="2">
        <v>27.306999999999999</v>
      </c>
      <c r="AR128">
        <v>825</v>
      </c>
      <c r="AT128">
        <v>29.004153939037</v>
      </c>
    </row>
    <row r="129" spans="1:46">
      <c r="A129" s="3" t="s">
        <v>148</v>
      </c>
      <c r="B129" s="3">
        <v>820</v>
      </c>
      <c r="C129" s="3">
        <v>830</v>
      </c>
      <c r="D129" s="3">
        <f t="shared" si="3"/>
        <v>825</v>
      </c>
      <c r="E129" s="3">
        <v>0.32300000000000001</v>
      </c>
      <c r="F129" s="3">
        <v>1.0049999999999999</v>
      </c>
      <c r="G129" s="3"/>
      <c r="H129" s="3" t="s">
        <v>73</v>
      </c>
      <c r="I129" s="3">
        <v>29.004153939037</v>
      </c>
      <c r="J129" s="3">
        <v>2.2904547258227201</v>
      </c>
      <c r="K129" s="3">
        <v>-0.132916454280504</v>
      </c>
      <c r="L129" s="3">
        <v>1.02014322434775</v>
      </c>
      <c r="M129" s="3"/>
      <c r="AN129" s="7" t="s">
        <v>336</v>
      </c>
      <c r="AO129">
        <f t="shared" si="2"/>
        <v>670</v>
      </c>
      <c r="AP129" s="7">
        <v>21.623999999999999</v>
      </c>
      <c r="AR129">
        <v>835</v>
      </c>
      <c r="AT129">
        <v>25.9311896905601</v>
      </c>
    </row>
    <row r="130" spans="1:46">
      <c r="A130" s="3" t="s">
        <v>149</v>
      </c>
      <c r="B130" s="3">
        <v>830</v>
      </c>
      <c r="C130" s="3">
        <v>840</v>
      </c>
      <c r="D130" s="3">
        <f t="shared" si="3"/>
        <v>835</v>
      </c>
      <c r="E130" s="3">
        <v>0.32800000000000001</v>
      </c>
      <c r="F130" s="3">
        <v>1.046</v>
      </c>
      <c r="G130" s="3"/>
      <c r="H130" s="3" t="s">
        <v>73</v>
      </c>
      <c r="I130" s="3">
        <v>25.9311896905601</v>
      </c>
      <c r="J130" s="3">
        <v>2.1874609047818701</v>
      </c>
      <c r="K130" s="3">
        <v>-0.10833799615831</v>
      </c>
      <c r="L130" s="3">
        <v>1.0146400118958201</v>
      </c>
      <c r="M130" s="3"/>
      <c r="AN130" s="2" t="s">
        <v>337</v>
      </c>
      <c r="AO130">
        <f t="shared" si="2"/>
        <v>675</v>
      </c>
      <c r="AP130" s="2">
        <v>21.556000000000001</v>
      </c>
      <c r="AR130">
        <v>850</v>
      </c>
      <c r="AT130">
        <v>24.382822320613599</v>
      </c>
    </row>
    <row r="131" spans="1:46">
      <c r="A131" s="3" t="s">
        <v>150</v>
      </c>
      <c r="B131" s="3">
        <v>840</v>
      </c>
      <c r="C131" s="3">
        <v>860</v>
      </c>
      <c r="D131" s="3">
        <f t="shared" si="3"/>
        <v>850</v>
      </c>
      <c r="E131" s="3">
        <v>0.318</v>
      </c>
      <c r="F131" s="3">
        <v>1.0880000000000001</v>
      </c>
      <c r="G131" s="3"/>
      <c r="H131" s="3" t="s">
        <v>73</v>
      </c>
      <c r="I131" s="3">
        <v>24.382822320613599</v>
      </c>
      <c r="J131" s="3">
        <v>2.2403423739618602</v>
      </c>
      <c r="K131" s="3">
        <v>-0.10969879848947101</v>
      </c>
      <c r="L131" s="3">
        <v>1.0084955930525601</v>
      </c>
      <c r="M131" s="3"/>
      <c r="AN131" s="7" t="s">
        <v>338</v>
      </c>
      <c r="AO131">
        <f t="shared" ref="AO131:AO194" si="4">AN131*10</f>
        <v>680</v>
      </c>
      <c r="AP131" s="7">
        <v>21.818999999999999</v>
      </c>
      <c r="AR131">
        <v>851.5</v>
      </c>
      <c r="AT131">
        <v>21.825141835434302</v>
      </c>
    </row>
    <row r="132" spans="1:46">
      <c r="A132" s="3" t="s">
        <v>151</v>
      </c>
      <c r="B132" s="3">
        <v>850</v>
      </c>
      <c r="C132" s="3">
        <v>853</v>
      </c>
      <c r="D132" s="3">
        <f t="shared" ref="D132:D178" si="5">B132+(C132-B132)/2</f>
        <v>851.5</v>
      </c>
      <c r="E132" s="3">
        <v>0.34699999999999998</v>
      </c>
      <c r="F132" s="3">
        <v>1.0149999999999999</v>
      </c>
      <c r="G132" s="3" t="s">
        <v>240</v>
      </c>
      <c r="H132" s="3" t="s">
        <v>73</v>
      </c>
      <c r="I132" s="3">
        <v>21.825141835434302</v>
      </c>
      <c r="J132" s="3">
        <v>2.3621469936424702</v>
      </c>
      <c r="K132" s="3">
        <v>-0.100824742237501</v>
      </c>
      <c r="L132" s="3">
        <v>1.0071760535712699</v>
      </c>
      <c r="M132" s="3"/>
      <c r="AN132" s="2" t="s">
        <v>339</v>
      </c>
      <c r="AO132">
        <f t="shared" si="4"/>
        <v>685</v>
      </c>
      <c r="AP132" s="2">
        <v>21.63</v>
      </c>
      <c r="AR132">
        <v>856.5</v>
      </c>
      <c r="AT132">
        <v>20.423765977399</v>
      </c>
    </row>
    <row r="133" spans="1:46">
      <c r="A133" s="3" t="s">
        <v>152</v>
      </c>
      <c r="B133" s="3">
        <v>853</v>
      </c>
      <c r="C133" s="3">
        <v>860</v>
      </c>
      <c r="D133" s="3">
        <f t="shared" si="5"/>
        <v>856.5</v>
      </c>
      <c r="E133" s="3">
        <v>0.316</v>
      </c>
      <c r="F133" s="3">
        <v>1.0189999999999999</v>
      </c>
      <c r="G133" s="3"/>
      <c r="H133" s="3" t="s">
        <v>73</v>
      </c>
      <c r="I133" s="3">
        <v>20.423765977399</v>
      </c>
      <c r="J133" s="3">
        <v>2.12042488089853</v>
      </c>
      <c r="K133" s="3">
        <v>-8.2747551855225907E-2</v>
      </c>
      <c r="L133" s="3">
        <v>1.0068878651676001</v>
      </c>
      <c r="M133" s="3"/>
      <c r="AN133" s="7" t="s">
        <v>340</v>
      </c>
      <c r="AO133">
        <f t="shared" si="4"/>
        <v>690</v>
      </c>
      <c r="AP133" s="7">
        <v>19.972999999999999</v>
      </c>
      <c r="AR133">
        <v>862</v>
      </c>
      <c r="AT133">
        <v>22.425700023331402</v>
      </c>
    </row>
    <row r="134" spans="1:46">
      <c r="A134" s="3" t="s">
        <v>153</v>
      </c>
      <c r="B134" s="3">
        <v>860</v>
      </c>
      <c r="C134" s="3">
        <v>864</v>
      </c>
      <c r="D134" s="3">
        <f t="shared" si="5"/>
        <v>862</v>
      </c>
      <c r="E134" s="3">
        <v>0.39700000000000002</v>
      </c>
      <c r="F134" s="3">
        <v>1.022</v>
      </c>
      <c r="G134" s="3"/>
      <c r="H134" s="3" t="s">
        <v>73</v>
      </c>
      <c r="I134" s="3">
        <v>22.425700023331402</v>
      </c>
      <c r="J134" s="3">
        <v>2.12920827712039</v>
      </c>
      <c r="K134" s="3">
        <v>-9.4053154209038994E-2</v>
      </c>
      <c r="L134" s="3">
        <v>1.01221606153504</v>
      </c>
      <c r="M134" s="3"/>
      <c r="AN134" s="2" t="s">
        <v>341</v>
      </c>
      <c r="AO134">
        <f t="shared" si="4"/>
        <v>695</v>
      </c>
      <c r="AP134" s="2">
        <v>20.173999999999999</v>
      </c>
      <c r="AR134">
        <v>866</v>
      </c>
      <c r="AT134">
        <v>23.7147745348786</v>
      </c>
    </row>
    <row r="135" spans="1:46">
      <c r="A135" s="3" t="s">
        <v>154</v>
      </c>
      <c r="B135" s="3">
        <v>864</v>
      </c>
      <c r="C135" s="3">
        <v>868</v>
      </c>
      <c r="D135" s="3">
        <f t="shared" si="5"/>
        <v>866</v>
      </c>
      <c r="E135" s="3">
        <v>0.3</v>
      </c>
      <c r="F135" s="3">
        <v>1.032</v>
      </c>
      <c r="G135" s="3"/>
      <c r="H135" s="3" t="s">
        <v>73</v>
      </c>
      <c r="I135" s="3">
        <v>23.7147745348786</v>
      </c>
      <c r="J135" s="3">
        <v>2.1756916053745998</v>
      </c>
      <c r="K135" s="3">
        <v>-0.100953299306291</v>
      </c>
      <c r="L135" s="3">
        <v>1.00764226337694</v>
      </c>
      <c r="M135" s="3"/>
      <c r="AN135" s="7" t="s">
        <v>342</v>
      </c>
      <c r="AO135">
        <f t="shared" si="4"/>
        <v>700</v>
      </c>
      <c r="AP135" s="7">
        <v>19.245000000000001</v>
      </c>
      <c r="AR135">
        <v>869.5</v>
      </c>
      <c r="AT135">
        <v>25.184669240866999</v>
      </c>
    </row>
    <row r="136" spans="1:46">
      <c r="A136" s="3" t="s">
        <v>155</v>
      </c>
      <c r="B136" s="3">
        <v>868</v>
      </c>
      <c r="C136" s="3">
        <v>871</v>
      </c>
      <c r="D136" s="3">
        <f t="shared" si="5"/>
        <v>869.5</v>
      </c>
      <c r="E136" s="3">
        <v>0.38900000000000001</v>
      </c>
      <c r="F136" s="3">
        <v>1.0249999999999999</v>
      </c>
      <c r="G136" s="3"/>
      <c r="H136" s="3" t="s">
        <v>73</v>
      </c>
      <c r="I136" s="3">
        <v>25.184669240866999</v>
      </c>
      <c r="J136" s="3">
        <v>2.2436842269178698</v>
      </c>
      <c r="K136" s="3">
        <v>-0.12328995086306201</v>
      </c>
      <c r="L136" s="3">
        <v>1.0213942480801099</v>
      </c>
      <c r="M136" s="3"/>
      <c r="AN136" s="2" t="s">
        <v>343</v>
      </c>
      <c r="AO136">
        <f t="shared" si="4"/>
        <v>705</v>
      </c>
      <c r="AP136" s="2">
        <v>19.311</v>
      </c>
      <c r="AR136">
        <v>872.5</v>
      </c>
      <c r="AT136">
        <v>22.938764084748399</v>
      </c>
    </row>
    <row r="137" spans="1:46">
      <c r="A137" s="3" t="s">
        <v>156</v>
      </c>
      <c r="B137" s="3">
        <v>871</v>
      </c>
      <c r="C137" s="3">
        <v>874</v>
      </c>
      <c r="D137" s="3">
        <f t="shared" si="5"/>
        <v>872.5</v>
      </c>
      <c r="E137" s="3">
        <v>0.38800000000000001</v>
      </c>
      <c r="F137" s="3">
        <v>1.0269999999999999</v>
      </c>
      <c r="G137" s="3"/>
      <c r="H137" s="3" t="s">
        <v>73</v>
      </c>
      <c r="I137" s="3">
        <v>22.938764084748399</v>
      </c>
      <c r="J137" s="3">
        <v>2.2702607623178799</v>
      </c>
      <c r="K137" s="3">
        <v>-9.8505913564281802E-2</v>
      </c>
      <c r="L137" s="3">
        <v>1.0127639264783499</v>
      </c>
      <c r="M137" s="3"/>
      <c r="AN137" s="7" t="s">
        <v>344</v>
      </c>
      <c r="AO137">
        <f t="shared" si="4"/>
        <v>710</v>
      </c>
      <c r="AP137" s="7">
        <v>20.106999999999999</v>
      </c>
      <c r="AR137">
        <v>878</v>
      </c>
      <c r="AT137">
        <v>21.144736000919998</v>
      </c>
    </row>
    <row r="138" spans="1:46">
      <c r="A138" s="3" t="s">
        <v>157</v>
      </c>
      <c r="B138" s="3">
        <v>874</v>
      </c>
      <c r="C138" s="3">
        <v>882</v>
      </c>
      <c r="D138" s="3">
        <f t="shared" si="5"/>
        <v>878</v>
      </c>
      <c r="E138" s="3">
        <v>0.38500000000000001</v>
      </c>
      <c r="F138" s="3">
        <v>1.0649999999999999</v>
      </c>
      <c r="G138" s="3"/>
      <c r="H138" s="3" t="s">
        <v>73</v>
      </c>
      <c r="I138" s="3">
        <v>21.144736000919998</v>
      </c>
      <c r="J138" s="3">
        <v>2.2138762675994399</v>
      </c>
      <c r="K138" s="3">
        <v>-9.9378587652605294E-2</v>
      </c>
      <c r="L138" s="3">
        <v>1.0169130011928</v>
      </c>
      <c r="M138" s="3"/>
      <c r="AN138" s="2" t="s">
        <v>345</v>
      </c>
      <c r="AO138">
        <f t="shared" si="4"/>
        <v>715</v>
      </c>
      <c r="AP138" s="2">
        <v>21.166</v>
      </c>
      <c r="AR138">
        <v>884</v>
      </c>
      <c r="AT138">
        <v>21.8548519450679</v>
      </c>
    </row>
    <row r="139" spans="1:46">
      <c r="A139" s="3" t="s">
        <v>158</v>
      </c>
      <c r="B139" s="3">
        <v>882</v>
      </c>
      <c r="C139" s="3">
        <v>886</v>
      </c>
      <c r="D139" s="3">
        <f t="shared" si="5"/>
        <v>884</v>
      </c>
      <c r="E139" s="3">
        <v>0.35699999999999998</v>
      </c>
      <c r="F139" s="3">
        <v>1.0629999999999999</v>
      </c>
      <c r="G139" s="3"/>
      <c r="H139" s="3" t="s">
        <v>73</v>
      </c>
      <c r="I139" s="3">
        <v>21.8548519450679</v>
      </c>
      <c r="J139" s="3">
        <v>2.30120267091751</v>
      </c>
      <c r="K139" s="3">
        <v>-0.11804510158034499</v>
      </c>
      <c r="L139" s="3">
        <v>1.02474641274185</v>
      </c>
      <c r="M139" s="3"/>
      <c r="AN139" s="7" t="s">
        <v>346</v>
      </c>
      <c r="AO139">
        <f t="shared" si="4"/>
        <v>720</v>
      </c>
      <c r="AP139" s="7">
        <v>20.434999999999999</v>
      </c>
      <c r="AR139">
        <v>888</v>
      </c>
      <c r="AT139">
        <v>21.870994419086699</v>
      </c>
    </row>
    <row r="140" spans="1:46">
      <c r="A140" s="3" t="s">
        <v>159</v>
      </c>
      <c r="B140" s="3">
        <v>886</v>
      </c>
      <c r="C140" s="3">
        <v>890</v>
      </c>
      <c r="D140" s="3">
        <f t="shared" si="5"/>
        <v>888</v>
      </c>
      <c r="E140" s="3">
        <v>0.36899999999999999</v>
      </c>
      <c r="F140" s="3">
        <v>1.0669999999999999</v>
      </c>
      <c r="G140" s="3"/>
      <c r="H140" s="3" t="s">
        <v>73</v>
      </c>
      <c r="I140" s="3">
        <v>21.870994419086699</v>
      </c>
      <c r="J140" s="3">
        <v>2.4438601697119502</v>
      </c>
      <c r="K140" s="3">
        <v>-0.123254226483306</v>
      </c>
      <c r="L140" s="3">
        <v>1.0123458134777401</v>
      </c>
      <c r="M140" s="3"/>
      <c r="AN140" s="2" t="s">
        <v>347</v>
      </c>
      <c r="AO140">
        <f t="shared" si="4"/>
        <v>725</v>
      </c>
      <c r="AP140" s="2">
        <v>20.440999999999999</v>
      </c>
      <c r="AR140">
        <v>895</v>
      </c>
      <c r="AT140">
        <v>22.415512104953699</v>
      </c>
    </row>
    <row r="141" spans="1:46">
      <c r="A141" s="3" t="s">
        <v>160</v>
      </c>
      <c r="B141" s="3">
        <v>890</v>
      </c>
      <c r="C141" s="3">
        <v>900</v>
      </c>
      <c r="D141" s="3">
        <f t="shared" si="5"/>
        <v>895</v>
      </c>
      <c r="E141" s="3">
        <v>0.39300000000000002</v>
      </c>
      <c r="F141" s="3">
        <v>1.012</v>
      </c>
      <c r="G141" s="3"/>
      <c r="H141" s="3" t="s">
        <v>73</v>
      </c>
      <c r="I141" s="3">
        <v>22.415512104953699</v>
      </c>
      <c r="J141" s="3">
        <v>2.32895826607235</v>
      </c>
      <c r="K141" s="3">
        <v>-0.110974872420448</v>
      </c>
      <c r="L141" s="3">
        <v>1.0147553282065001</v>
      </c>
      <c r="M141" s="3"/>
      <c r="AN141" s="7" t="s">
        <v>348</v>
      </c>
      <c r="AO141">
        <f t="shared" si="4"/>
        <v>730</v>
      </c>
      <c r="AP141" s="7">
        <v>21.1</v>
      </c>
      <c r="AR141">
        <v>905</v>
      </c>
      <c r="AT141">
        <v>25.839757869396799</v>
      </c>
    </row>
    <row r="142" spans="1:46">
      <c r="A142" s="3" t="s">
        <v>161</v>
      </c>
      <c r="B142" s="3">
        <v>900</v>
      </c>
      <c r="C142" s="3">
        <v>910</v>
      </c>
      <c r="D142" s="3">
        <f t="shared" si="5"/>
        <v>905</v>
      </c>
      <c r="E142" s="3">
        <v>0.36299999999999999</v>
      </c>
      <c r="F142" s="3">
        <v>1.0569999999999999</v>
      </c>
      <c r="G142" s="3"/>
      <c r="H142" s="3" t="s">
        <v>73</v>
      </c>
      <c r="I142" s="3">
        <v>25.839757869396799</v>
      </c>
      <c r="J142" s="3">
        <v>2.3112293148760701</v>
      </c>
      <c r="K142" s="3">
        <v>-0.121827925856114</v>
      </c>
      <c r="L142" s="3">
        <v>1.01929204972504</v>
      </c>
      <c r="M142" s="3"/>
      <c r="AN142" s="2" t="s">
        <v>349</v>
      </c>
      <c r="AO142">
        <f t="shared" si="4"/>
        <v>735</v>
      </c>
      <c r="AP142" s="2">
        <v>21.225000000000001</v>
      </c>
      <c r="AR142">
        <v>915</v>
      </c>
      <c r="AT142">
        <v>23.7998553066097</v>
      </c>
    </row>
    <row r="143" spans="1:46">
      <c r="A143" s="3" t="s">
        <v>162</v>
      </c>
      <c r="B143" s="3">
        <v>910</v>
      </c>
      <c r="C143" s="3">
        <v>920</v>
      </c>
      <c r="D143" s="3">
        <f t="shared" si="5"/>
        <v>915</v>
      </c>
      <c r="E143" s="3">
        <v>0.36899999999999999</v>
      </c>
      <c r="F143" s="3">
        <v>1.014</v>
      </c>
      <c r="G143" s="3"/>
      <c r="H143" s="3" t="s">
        <v>73</v>
      </c>
      <c r="I143" s="3">
        <v>23.7998553066097</v>
      </c>
      <c r="J143" s="3">
        <v>2.3714738122217001</v>
      </c>
      <c r="K143" s="3">
        <v>-0.12484762314459499</v>
      </c>
      <c r="L143" s="3">
        <v>1.0215347364181599</v>
      </c>
      <c r="M143" s="3"/>
      <c r="AN143" s="7" t="s">
        <v>350</v>
      </c>
      <c r="AO143">
        <f t="shared" si="4"/>
        <v>740</v>
      </c>
      <c r="AP143" s="7">
        <v>20.501000000000001</v>
      </c>
      <c r="AR143">
        <v>925</v>
      </c>
      <c r="AT143">
        <v>24.5833512492935</v>
      </c>
    </row>
    <row r="144" spans="1:46">
      <c r="A144" s="3" t="s">
        <v>163</v>
      </c>
      <c r="B144" s="3">
        <v>920</v>
      </c>
      <c r="C144" s="3">
        <v>930</v>
      </c>
      <c r="D144" s="3">
        <f t="shared" si="5"/>
        <v>925</v>
      </c>
      <c r="E144" s="3">
        <v>0.39700000000000002</v>
      </c>
      <c r="F144" s="3">
        <v>1.01</v>
      </c>
      <c r="G144" s="3"/>
      <c r="H144" s="3" t="s">
        <v>73</v>
      </c>
      <c r="I144" s="3">
        <v>24.5833512492935</v>
      </c>
      <c r="J144" s="3">
        <v>2.2455317265243502</v>
      </c>
      <c r="K144" s="3">
        <v>-0.103977283554784</v>
      </c>
      <c r="L144" s="3">
        <v>1.01214816658422</v>
      </c>
      <c r="M144" s="3"/>
      <c r="AN144" s="2" t="s">
        <v>351</v>
      </c>
      <c r="AO144">
        <f t="shared" si="4"/>
        <v>745</v>
      </c>
      <c r="AP144" s="2">
        <v>20.234999999999999</v>
      </c>
      <c r="AR144">
        <v>933.5</v>
      </c>
      <c r="AT144">
        <v>27.7221694212855</v>
      </c>
    </row>
    <row r="145" spans="1:47">
      <c r="A145" s="3" t="s">
        <v>164</v>
      </c>
      <c r="B145" s="3">
        <v>930</v>
      </c>
      <c r="C145" s="3">
        <v>937</v>
      </c>
      <c r="D145" s="3">
        <f t="shared" si="5"/>
        <v>933.5</v>
      </c>
      <c r="E145" s="3">
        <v>0.377</v>
      </c>
      <c r="F145" s="3">
        <v>1.0049999999999999</v>
      </c>
      <c r="G145" s="3"/>
      <c r="H145" s="3" t="s">
        <v>73</v>
      </c>
      <c r="I145" s="3">
        <v>27.7221694212855</v>
      </c>
      <c r="J145" s="3">
        <v>2.2065681229738399</v>
      </c>
      <c r="K145" s="3">
        <v>-0.12752372689098199</v>
      </c>
      <c r="L145" s="3">
        <v>1.02912380691438</v>
      </c>
      <c r="M145" s="3"/>
      <c r="AN145" s="7" t="s">
        <v>352</v>
      </c>
      <c r="AO145">
        <f t="shared" si="4"/>
        <v>750</v>
      </c>
      <c r="AP145" s="7">
        <v>20.962</v>
      </c>
      <c r="AR145">
        <v>938.5</v>
      </c>
      <c r="AT145">
        <v>26.275818300023001</v>
      </c>
    </row>
    <row r="146" spans="1:47">
      <c r="A146" s="3" t="s">
        <v>165</v>
      </c>
      <c r="B146" s="3">
        <v>937</v>
      </c>
      <c r="C146" s="3">
        <v>940</v>
      </c>
      <c r="D146" s="3">
        <f t="shared" si="5"/>
        <v>938.5</v>
      </c>
      <c r="E146" s="3">
        <v>0.33300000000000002</v>
      </c>
      <c r="F146" s="3">
        <v>1.036</v>
      </c>
      <c r="G146" s="3"/>
      <c r="H146" s="3" t="s">
        <v>73</v>
      </c>
      <c r="I146" s="3">
        <v>26.275818300023001</v>
      </c>
      <c r="J146" s="3">
        <v>2.18728066586575</v>
      </c>
      <c r="K146" s="3">
        <v>-0.120896326986783</v>
      </c>
      <c r="L146" s="3">
        <v>1.0288504957982201</v>
      </c>
      <c r="M146" s="3"/>
      <c r="AN146" s="2" t="s">
        <v>353</v>
      </c>
      <c r="AO146">
        <f t="shared" si="4"/>
        <v>755</v>
      </c>
      <c r="AP146" s="2">
        <v>22.154</v>
      </c>
      <c r="AR146">
        <v>945</v>
      </c>
      <c r="AT146">
        <v>22.440341793269599</v>
      </c>
    </row>
    <row r="147" spans="1:47">
      <c r="A147" s="3" t="s">
        <v>166</v>
      </c>
      <c r="B147" s="3">
        <v>940</v>
      </c>
      <c r="C147" s="3">
        <v>950</v>
      </c>
      <c r="D147" s="3">
        <f t="shared" si="5"/>
        <v>945</v>
      </c>
      <c r="E147" s="3">
        <v>0.38500000000000001</v>
      </c>
      <c r="F147" s="3">
        <v>1.0329999999999999</v>
      </c>
      <c r="G147" s="3"/>
      <c r="H147" s="3" t="s">
        <v>73</v>
      </c>
      <c r="I147" s="3">
        <v>22.440341793269599</v>
      </c>
      <c r="J147" s="3">
        <v>2.40853759375972</v>
      </c>
      <c r="K147" s="3">
        <v>-0.13170855221622499</v>
      </c>
      <c r="L147" s="3">
        <v>1.0172550763591699</v>
      </c>
      <c r="M147" s="3"/>
      <c r="AN147" s="7" t="s">
        <v>354</v>
      </c>
      <c r="AO147">
        <f t="shared" si="4"/>
        <v>760</v>
      </c>
      <c r="AP147" s="7">
        <v>21.887</v>
      </c>
      <c r="AR147">
        <v>952</v>
      </c>
      <c r="AT147">
        <v>20.2438356475304</v>
      </c>
    </row>
    <row r="148" spans="1:47">
      <c r="A148" s="3" t="s">
        <v>167</v>
      </c>
      <c r="B148" s="3">
        <v>950</v>
      </c>
      <c r="C148" s="3">
        <v>954</v>
      </c>
      <c r="D148" s="3">
        <f t="shared" si="5"/>
        <v>952</v>
      </c>
      <c r="E148" s="3">
        <v>0.32400000000000001</v>
      </c>
      <c r="F148" s="3">
        <v>1.089</v>
      </c>
      <c r="G148" s="3"/>
      <c r="H148" s="3" t="s">
        <v>73</v>
      </c>
      <c r="I148" s="3">
        <v>20.2438356475304</v>
      </c>
      <c r="J148" s="3">
        <v>2.2148341141199399</v>
      </c>
      <c r="K148" s="3">
        <v>-7.4172478478032294E-2</v>
      </c>
      <c r="L148" s="3">
        <v>1.00310045084318</v>
      </c>
      <c r="M148" s="3"/>
      <c r="AN148" s="2" t="s">
        <v>355</v>
      </c>
      <c r="AO148">
        <f t="shared" si="4"/>
        <v>765</v>
      </c>
      <c r="AP148" s="2">
        <v>21.297999999999998</v>
      </c>
      <c r="AR148">
        <v>957</v>
      </c>
      <c r="AT148">
        <v>26.163002677298</v>
      </c>
    </row>
    <row r="149" spans="1:47">
      <c r="A149" s="3" t="s">
        <v>168</v>
      </c>
      <c r="B149" s="3">
        <v>954</v>
      </c>
      <c r="C149" s="3">
        <v>960</v>
      </c>
      <c r="D149" s="3">
        <f t="shared" si="5"/>
        <v>957</v>
      </c>
      <c r="E149" s="3">
        <v>0.33800000000000002</v>
      </c>
      <c r="F149" s="3">
        <v>1.081</v>
      </c>
      <c r="G149" s="3"/>
      <c r="H149" s="3" t="s">
        <v>73</v>
      </c>
      <c r="I149" s="3">
        <v>26.163002677298</v>
      </c>
      <c r="J149" s="3">
        <v>2.23782571065178</v>
      </c>
      <c r="K149" s="3">
        <v>-0.109609081277177</v>
      </c>
      <c r="L149" s="3">
        <v>1.0163598222917301</v>
      </c>
      <c r="M149" s="3"/>
      <c r="AN149" s="7" t="s">
        <v>356</v>
      </c>
      <c r="AO149">
        <f t="shared" si="4"/>
        <v>770</v>
      </c>
      <c r="AP149" s="7">
        <v>21.492999999999999</v>
      </c>
      <c r="AR149">
        <v>962.5</v>
      </c>
      <c r="AT149">
        <v>26.545931799486201</v>
      </c>
    </row>
    <row r="150" spans="1:47">
      <c r="A150" s="3" t="s">
        <v>169</v>
      </c>
      <c r="B150" s="3">
        <v>960</v>
      </c>
      <c r="C150" s="3">
        <v>965</v>
      </c>
      <c r="D150" s="3">
        <f t="shared" si="5"/>
        <v>962.5</v>
      </c>
      <c r="E150" s="3">
        <v>0.372</v>
      </c>
      <c r="F150" s="3">
        <v>1.079</v>
      </c>
      <c r="G150" s="3"/>
      <c r="H150" s="3" t="s">
        <v>73</v>
      </c>
      <c r="I150" s="3">
        <v>26.545931799486201</v>
      </c>
      <c r="J150" s="3">
        <v>2.25914653526659</v>
      </c>
      <c r="K150" s="3">
        <v>-0.115928064401216</v>
      </c>
      <c r="L150" s="3">
        <v>1.01954144383348</v>
      </c>
      <c r="M150" s="3"/>
      <c r="AN150" s="2" t="s">
        <v>357</v>
      </c>
      <c r="AO150">
        <f t="shared" si="4"/>
        <v>775</v>
      </c>
      <c r="AP150" s="2">
        <v>23.148</v>
      </c>
      <c r="AR150">
        <v>966</v>
      </c>
      <c r="AT150">
        <v>23.2340519146696</v>
      </c>
    </row>
    <row r="151" spans="1:47">
      <c r="A151" s="3" t="s">
        <v>170</v>
      </c>
      <c r="B151" s="3">
        <v>965</v>
      </c>
      <c r="C151" s="3">
        <v>967</v>
      </c>
      <c r="D151" s="3">
        <f t="shared" si="5"/>
        <v>966</v>
      </c>
      <c r="E151" s="3">
        <v>0.33900000000000002</v>
      </c>
      <c r="F151" s="3">
        <v>1.012</v>
      </c>
      <c r="G151" s="3"/>
      <c r="H151" s="3" t="s">
        <v>73</v>
      </c>
      <c r="I151" s="3">
        <v>23.2340519146696</v>
      </c>
      <c r="J151" s="3">
        <v>2.3528424900334599</v>
      </c>
      <c r="K151" s="3">
        <v>-0.124979784343734</v>
      </c>
      <c r="L151" s="3">
        <v>1.0130858701064001</v>
      </c>
      <c r="M151" s="3"/>
      <c r="AN151" s="7" t="s">
        <v>358</v>
      </c>
      <c r="AO151">
        <f t="shared" si="4"/>
        <v>780</v>
      </c>
      <c r="AP151" s="7">
        <v>24.797999999999998</v>
      </c>
      <c r="AR151">
        <v>970</v>
      </c>
      <c r="AT151">
        <v>22.519770477819499</v>
      </c>
    </row>
    <row r="152" spans="1:47">
      <c r="A152" s="3" t="s">
        <v>171</v>
      </c>
      <c r="B152" s="3">
        <v>967</v>
      </c>
      <c r="C152" s="3">
        <v>973</v>
      </c>
      <c r="D152" s="3">
        <f t="shared" si="5"/>
        <v>970</v>
      </c>
      <c r="E152" s="3">
        <v>0.36799999999999999</v>
      </c>
      <c r="F152" s="3">
        <v>1.077</v>
      </c>
      <c r="G152" s="3"/>
      <c r="H152" s="3" t="s">
        <v>73</v>
      </c>
      <c r="I152" s="3">
        <v>22.519770477819499</v>
      </c>
      <c r="J152" s="3">
        <v>2.29391924946137</v>
      </c>
      <c r="K152" s="3">
        <v>-0.11476931931610899</v>
      </c>
      <c r="L152" s="3">
        <v>1.01685453820537</v>
      </c>
      <c r="M152" s="3"/>
      <c r="AN152" s="2" t="s">
        <v>359</v>
      </c>
      <c r="AO152">
        <f t="shared" si="4"/>
        <v>785</v>
      </c>
      <c r="AP152" s="2">
        <v>23.809000000000001</v>
      </c>
      <c r="AR152">
        <v>975.5</v>
      </c>
      <c r="AT152">
        <v>21.674459720842702</v>
      </c>
    </row>
    <row r="153" spans="1:47">
      <c r="A153" s="3" t="s">
        <v>172</v>
      </c>
      <c r="B153" s="3">
        <v>973</v>
      </c>
      <c r="C153" s="3">
        <v>978</v>
      </c>
      <c r="D153" s="3">
        <f t="shared" si="5"/>
        <v>975.5</v>
      </c>
      <c r="E153" s="3">
        <v>0.377</v>
      </c>
      <c r="F153" s="3">
        <v>1.024</v>
      </c>
      <c r="G153" s="3" t="s">
        <v>245</v>
      </c>
      <c r="H153" s="3" t="s">
        <v>73</v>
      </c>
      <c r="I153" s="3">
        <v>21.674459720842702</v>
      </c>
      <c r="J153" s="3">
        <v>2.4343267490141902</v>
      </c>
      <c r="K153" s="3">
        <v>-0.12628323734497501</v>
      </c>
      <c r="L153" s="3">
        <v>1.00797320125</v>
      </c>
      <c r="M153" s="3"/>
      <c r="AN153" s="7" t="s">
        <v>360</v>
      </c>
      <c r="AO153">
        <f t="shared" si="4"/>
        <v>790</v>
      </c>
      <c r="AP153" s="7">
        <v>22.416</v>
      </c>
      <c r="AR153">
        <v>984</v>
      </c>
      <c r="AT153">
        <v>22.658623552479401</v>
      </c>
    </row>
    <row r="154" spans="1:47">
      <c r="A154" s="3" t="s">
        <v>173</v>
      </c>
      <c r="B154" s="3">
        <v>978</v>
      </c>
      <c r="C154" s="3">
        <v>990</v>
      </c>
      <c r="D154" s="3">
        <f t="shared" si="5"/>
        <v>984</v>
      </c>
      <c r="E154" s="3">
        <v>0.38400000000000001</v>
      </c>
      <c r="F154" s="3">
        <v>1.091</v>
      </c>
      <c r="G154" s="3"/>
      <c r="H154" s="3" t="s">
        <v>73</v>
      </c>
      <c r="I154" s="3">
        <v>22.658623552479401</v>
      </c>
      <c r="J154" s="3">
        <v>2.3400777016441401</v>
      </c>
      <c r="K154" s="3">
        <v>-0.12398491486964799</v>
      </c>
      <c r="L154" s="3">
        <v>1.00991029899044</v>
      </c>
      <c r="M154" s="3"/>
      <c r="AN154" s="2" t="s">
        <v>361</v>
      </c>
      <c r="AO154">
        <f t="shared" si="4"/>
        <v>795</v>
      </c>
      <c r="AP154" s="2">
        <v>22.023</v>
      </c>
      <c r="AR154">
        <v>995</v>
      </c>
      <c r="AU154">
        <v>24.405778022076401</v>
      </c>
    </row>
    <row r="155" spans="1:47">
      <c r="A155" s="3" t="s">
        <v>174</v>
      </c>
      <c r="B155" s="3">
        <v>990</v>
      </c>
      <c r="C155" s="3">
        <v>1000</v>
      </c>
      <c r="D155" s="3">
        <f t="shared" si="5"/>
        <v>995</v>
      </c>
      <c r="E155" s="3">
        <v>0.33800000000000002</v>
      </c>
      <c r="F155" s="3">
        <v>1.077</v>
      </c>
      <c r="G155" s="3"/>
      <c r="H155" s="3" t="s">
        <v>175</v>
      </c>
      <c r="I155" s="3">
        <v>24.405778022076401</v>
      </c>
      <c r="J155" s="3">
        <v>2.3637389846386601</v>
      </c>
      <c r="K155" s="3">
        <v>-0.12767545990312301</v>
      </c>
      <c r="L155" s="3">
        <v>1.01375178557004</v>
      </c>
      <c r="M155" s="3"/>
      <c r="AN155" s="7" t="s">
        <v>362</v>
      </c>
      <c r="AO155">
        <f t="shared" si="4"/>
        <v>800</v>
      </c>
      <c r="AP155" s="7">
        <v>21.692</v>
      </c>
      <c r="AR155">
        <v>1008</v>
      </c>
      <c r="AU155">
        <v>25.6558797274553</v>
      </c>
    </row>
    <row r="156" spans="1:47">
      <c r="A156" s="3" t="s">
        <v>176</v>
      </c>
      <c r="B156" s="3">
        <v>1000</v>
      </c>
      <c r="C156" s="3">
        <v>1016</v>
      </c>
      <c r="D156" s="3">
        <f t="shared" si="5"/>
        <v>1008</v>
      </c>
      <c r="E156" s="3">
        <v>0.316</v>
      </c>
      <c r="F156" s="3">
        <v>1.004</v>
      </c>
      <c r="G156" s="3"/>
      <c r="H156" s="3" t="s">
        <v>175</v>
      </c>
      <c r="I156" s="3">
        <v>25.6558797274553</v>
      </c>
      <c r="J156" s="3">
        <v>2.22729164719687</v>
      </c>
      <c r="K156" s="3">
        <v>-0.11462459426562099</v>
      </c>
      <c r="L156" s="3">
        <v>1.0128536489981701</v>
      </c>
      <c r="M156" s="3"/>
      <c r="AN156" s="2" t="s">
        <v>363</v>
      </c>
      <c r="AO156">
        <f t="shared" si="4"/>
        <v>805</v>
      </c>
      <c r="AP156" s="2">
        <v>22.617000000000001</v>
      </c>
      <c r="AR156">
        <v>1018</v>
      </c>
      <c r="AU156">
        <v>30.944411706937299</v>
      </c>
    </row>
    <row r="157" spans="1:47">
      <c r="A157" s="3" t="s">
        <v>177</v>
      </c>
      <c r="B157" s="3">
        <v>1016</v>
      </c>
      <c r="C157" s="3">
        <v>1020</v>
      </c>
      <c r="D157" s="3">
        <f t="shared" si="5"/>
        <v>1018</v>
      </c>
      <c r="E157" s="3">
        <v>0.32800000000000001</v>
      </c>
      <c r="F157" s="3">
        <v>1.054</v>
      </c>
      <c r="G157" s="3"/>
      <c r="H157" s="3" t="s">
        <v>175</v>
      </c>
      <c r="I157" s="3">
        <v>30.944411706937299</v>
      </c>
      <c r="J157" s="3">
        <v>2.27686437308689</v>
      </c>
      <c r="K157" s="3">
        <v>-0.14656383524369701</v>
      </c>
      <c r="L157" s="3">
        <v>1.0216280393008399</v>
      </c>
      <c r="M157" s="3"/>
      <c r="AN157" s="7" t="s">
        <v>364</v>
      </c>
      <c r="AO157">
        <f t="shared" si="4"/>
        <v>810</v>
      </c>
      <c r="AP157" s="7">
        <v>21.622</v>
      </c>
      <c r="AR157">
        <v>1025</v>
      </c>
      <c r="AU157">
        <v>22.463378330437301</v>
      </c>
    </row>
    <row r="158" spans="1:47">
      <c r="A158" s="3" t="s">
        <v>178</v>
      </c>
      <c r="B158" s="3">
        <v>1020</v>
      </c>
      <c r="C158" s="3">
        <v>1030</v>
      </c>
      <c r="D158" s="3">
        <f t="shared" si="5"/>
        <v>1025</v>
      </c>
      <c r="E158" s="3">
        <v>0.36</v>
      </c>
      <c r="F158" s="3">
        <v>1.0609999999999999</v>
      </c>
      <c r="G158" s="3"/>
      <c r="H158" s="3" t="s">
        <v>175</v>
      </c>
      <c r="I158" s="3">
        <v>22.463378330437301</v>
      </c>
      <c r="J158" s="3">
        <v>2.3395449322658002</v>
      </c>
      <c r="K158" s="3">
        <v>-0.100403029627183</v>
      </c>
      <c r="L158" s="3">
        <v>0.99803779314161201</v>
      </c>
      <c r="M158" s="3"/>
      <c r="AN158" s="2" t="s">
        <v>365</v>
      </c>
      <c r="AO158">
        <f t="shared" si="4"/>
        <v>815</v>
      </c>
      <c r="AP158" s="2">
        <v>19.178999999999998</v>
      </c>
      <c r="AR158">
        <v>1035</v>
      </c>
      <c r="AU158">
        <v>22.8876108795967</v>
      </c>
    </row>
    <row r="159" spans="1:47">
      <c r="A159" s="3" t="s">
        <v>179</v>
      </c>
      <c r="B159" s="3">
        <v>1030</v>
      </c>
      <c r="C159" s="3">
        <v>1040</v>
      </c>
      <c r="D159" s="3">
        <f t="shared" si="5"/>
        <v>1035</v>
      </c>
      <c r="E159" s="3">
        <v>0.38400000000000001</v>
      </c>
      <c r="F159" s="3">
        <v>1.087</v>
      </c>
      <c r="G159" s="3"/>
      <c r="H159" s="3" t="s">
        <v>175</v>
      </c>
      <c r="I159" s="3">
        <v>22.8876108795967</v>
      </c>
      <c r="J159" s="3">
        <v>2.1829021371128499</v>
      </c>
      <c r="K159" s="3">
        <v>-8.2248701786727899E-2</v>
      </c>
      <c r="L159" s="3">
        <v>1.00616983219963</v>
      </c>
      <c r="M159" s="3"/>
      <c r="AN159" s="7" t="s">
        <v>366</v>
      </c>
      <c r="AO159">
        <f t="shared" si="4"/>
        <v>820</v>
      </c>
      <c r="AP159" s="7">
        <v>18.315999999999999</v>
      </c>
      <c r="AR159">
        <v>1045.5</v>
      </c>
      <c r="AU159">
        <v>28.373998431333</v>
      </c>
    </row>
    <row r="160" spans="1:47">
      <c r="A160" s="3" t="s">
        <v>180</v>
      </c>
      <c r="B160" s="3">
        <v>1043</v>
      </c>
      <c r="C160" s="3">
        <v>1048</v>
      </c>
      <c r="D160" s="3">
        <f t="shared" si="5"/>
        <v>1045.5</v>
      </c>
      <c r="E160" s="3">
        <v>0.35799999999999998</v>
      </c>
      <c r="F160" s="3">
        <v>1.0389999999999999</v>
      </c>
      <c r="G160" s="3"/>
      <c r="H160" s="3" t="s">
        <v>175</v>
      </c>
      <c r="I160" s="3">
        <v>28.373998431333</v>
      </c>
      <c r="J160" s="3">
        <v>2.3305219666510202</v>
      </c>
      <c r="K160" s="3">
        <v>-0.115755583330132</v>
      </c>
      <c r="L160" s="3">
        <v>0.99742980135725101</v>
      </c>
      <c r="M160" s="3"/>
      <c r="AN160" s="2" t="s">
        <v>367</v>
      </c>
      <c r="AO160">
        <f t="shared" si="4"/>
        <v>825</v>
      </c>
      <c r="AP160" s="2">
        <v>21.954999999999998</v>
      </c>
      <c r="AR160">
        <v>1055.5</v>
      </c>
      <c r="AU160">
        <v>31.817065350673701</v>
      </c>
    </row>
    <row r="161" spans="1:47">
      <c r="A161" s="3" t="s">
        <v>181</v>
      </c>
      <c r="B161" s="3">
        <v>1053</v>
      </c>
      <c r="C161" s="3">
        <v>1058</v>
      </c>
      <c r="D161" s="3">
        <f t="shared" si="5"/>
        <v>1055.5</v>
      </c>
      <c r="E161" s="3">
        <v>0.315</v>
      </c>
      <c r="F161" s="3">
        <v>1.097</v>
      </c>
      <c r="G161" s="3"/>
      <c r="H161" s="3" t="s">
        <v>175</v>
      </c>
      <c r="I161" s="3">
        <v>31.817065350673701</v>
      </c>
      <c r="J161" s="3">
        <v>2.2749095239203898</v>
      </c>
      <c r="K161" s="3">
        <v>-0.150344143729641</v>
      </c>
      <c r="L161" s="3">
        <v>1.01731950790577</v>
      </c>
      <c r="M161" s="3"/>
      <c r="AN161" s="7" t="s">
        <v>368</v>
      </c>
      <c r="AO161">
        <f t="shared" si="4"/>
        <v>830</v>
      </c>
      <c r="AP161" s="7">
        <v>21.425999999999998</v>
      </c>
      <c r="AR161">
        <v>1065.5</v>
      </c>
      <c r="AU161">
        <v>26.092082091729299</v>
      </c>
    </row>
    <row r="162" spans="1:47">
      <c r="A162" s="3" t="s">
        <v>182</v>
      </c>
      <c r="B162" s="3">
        <v>1063</v>
      </c>
      <c r="C162" s="3">
        <v>1068</v>
      </c>
      <c r="D162" s="3">
        <f t="shared" si="5"/>
        <v>1065.5</v>
      </c>
      <c r="E162" s="3">
        <v>0.375</v>
      </c>
      <c r="F162" s="3">
        <v>1.0069999999999999</v>
      </c>
      <c r="G162" s="3"/>
      <c r="H162" s="3" t="s">
        <v>175</v>
      </c>
      <c r="I162" s="3">
        <v>26.092082091729299</v>
      </c>
      <c r="J162" s="3">
        <v>2.17819750017647</v>
      </c>
      <c r="K162" s="3">
        <v>-0.12671743169870001</v>
      </c>
      <c r="L162" s="3">
        <v>1.02593609470415</v>
      </c>
      <c r="M162" s="3"/>
      <c r="AN162" s="2" t="s">
        <v>369</v>
      </c>
      <c r="AO162">
        <f t="shared" si="4"/>
        <v>835</v>
      </c>
      <c r="AP162" s="2">
        <v>20.963000000000001</v>
      </c>
      <c r="AR162">
        <v>1075.5</v>
      </c>
      <c r="AU162">
        <v>22.6500268327468</v>
      </c>
    </row>
    <row r="163" spans="1:47">
      <c r="A163" s="3" t="s">
        <v>183</v>
      </c>
      <c r="B163" s="3">
        <v>1073</v>
      </c>
      <c r="C163" s="3">
        <v>1078</v>
      </c>
      <c r="D163" s="3">
        <f t="shared" si="5"/>
        <v>1075.5</v>
      </c>
      <c r="E163" s="3">
        <v>0.31</v>
      </c>
      <c r="F163" s="3">
        <v>1.0589999999999999</v>
      </c>
      <c r="G163" s="3"/>
      <c r="H163" s="3" t="s">
        <v>175</v>
      </c>
      <c r="I163" s="3">
        <v>22.6500268327468</v>
      </c>
      <c r="J163" s="3">
        <v>2.2678108166039799</v>
      </c>
      <c r="K163" s="3">
        <v>-0.12214664288428401</v>
      </c>
      <c r="L163" s="3">
        <v>1.0168754517190599</v>
      </c>
      <c r="M163" s="3"/>
      <c r="AN163" s="7" t="s">
        <v>370</v>
      </c>
      <c r="AO163">
        <f t="shared" si="4"/>
        <v>840</v>
      </c>
      <c r="AP163" s="7">
        <v>19.245000000000001</v>
      </c>
      <c r="AR163">
        <v>1085.5</v>
      </c>
      <c r="AU163">
        <v>24.967764084486099</v>
      </c>
    </row>
    <row r="164" spans="1:47">
      <c r="A164" s="3" t="s">
        <v>184</v>
      </c>
      <c r="B164" s="3">
        <v>1083</v>
      </c>
      <c r="C164" s="3">
        <v>1088</v>
      </c>
      <c r="D164" s="3">
        <f t="shared" si="5"/>
        <v>1085.5</v>
      </c>
      <c r="E164" s="3">
        <v>0.35299999999999998</v>
      </c>
      <c r="F164" s="3">
        <v>1.022</v>
      </c>
      <c r="G164" s="3"/>
      <c r="H164" s="3" t="s">
        <v>175</v>
      </c>
      <c r="I164" s="3">
        <v>24.967764084486099</v>
      </c>
      <c r="J164" s="3">
        <v>2.2918124532341002</v>
      </c>
      <c r="K164" s="3">
        <v>-0.11550538665217699</v>
      </c>
      <c r="L164" s="3">
        <v>1.0084526222302499</v>
      </c>
      <c r="M164" s="3"/>
      <c r="AN164" s="2" t="s">
        <v>371</v>
      </c>
      <c r="AO164">
        <f t="shared" si="4"/>
        <v>845</v>
      </c>
      <c r="AP164" s="2">
        <v>20.035</v>
      </c>
      <c r="AR164">
        <v>1095.5</v>
      </c>
      <c r="AU164">
        <v>23.221284194452899</v>
      </c>
    </row>
    <row r="165" spans="1:47">
      <c r="A165" s="3" t="s">
        <v>185</v>
      </c>
      <c r="B165" s="3">
        <v>1093</v>
      </c>
      <c r="C165" s="3">
        <v>1098</v>
      </c>
      <c r="D165" s="3">
        <f t="shared" si="5"/>
        <v>1095.5</v>
      </c>
      <c r="E165" s="3">
        <v>0.33600000000000002</v>
      </c>
      <c r="F165" s="3">
        <v>1.032</v>
      </c>
      <c r="G165" s="3"/>
      <c r="H165" s="3" t="s">
        <v>175</v>
      </c>
      <c r="I165" s="3">
        <v>23.221284194452899</v>
      </c>
      <c r="J165" s="3">
        <v>2.22572441435466</v>
      </c>
      <c r="K165" s="3">
        <v>-0.10608901736080401</v>
      </c>
      <c r="L165" s="3">
        <v>1.0065824230389699</v>
      </c>
      <c r="M165" s="3"/>
      <c r="AN165" s="7" t="s">
        <v>372</v>
      </c>
      <c r="AO165">
        <f t="shared" si="4"/>
        <v>850</v>
      </c>
      <c r="AP165" s="7">
        <v>22.484999999999999</v>
      </c>
      <c r="AR165">
        <v>1105.5</v>
      </c>
      <c r="AU165">
        <v>23.428100200372</v>
      </c>
    </row>
    <row r="166" spans="1:47">
      <c r="A166" s="3" t="s">
        <v>186</v>
      </c>
      <c r="B166" s="3">
        <v>1103</v>
      </c>
      <c r="C166" s="3">
        <v>1108</v>
      </c>
      <c r="D166" s="3">
        <f t="shared" si="5"/>
        <v>1105.5</v>
      </c>
      <c r="E166" s="3">
        <v>0.36799999999999999</v>
      </c>
      <c r="F166" s="3">
        <v>1.0740000000000001</v>
      </c>
      <c r="G166" s="3"/>
      <c r="H166" s="3" t="s">
        <v>175</v>
      </c>
      <c r="I166" s="3">
        <v>23.428100200372</v>
      </c>
      <c r="J166" s="3">
        <v>2.2492255209722698</v>
      </c>
      <c r="K166" s="3">
        <v>-0.116532253127885</v>
      </c>
      <c r="L166" s="3">
        <v>1.0141446504306</v>
      </c>
      <c r="M166" s="3"/>
      <c r="AN166" s="2" t="s">
        <v>373</v>
      </c>
      <c r="AO166">
        <f t="shared" si="4"/>
        <v>855</v>
      </c>
      <c r="AP166" s="2">
        <v>21.885999999999999</v>
      </c>
      <c r="AR166">
        <v>1115.5</v>
      </c>
      <c r="AU166">
        <v>26.161404319970501</v>
      </c>
    </row>
    <row r="167" spans="1:47">
      <c r="A167" s="3" t="s">
        <v>187</v>
      </c>
      <c r="B167" s="3">
        <v>1113</v>
      </c>
      <c r="C167" s="3">
        <v>1118</v>
      </c>
      <c r="D167" s="3">
        <f t="shared" si="5"/>
        <v>1115.5</v>
      </c>
      <c r="E167" s="3">
        <v>0.377</v>
      </c>
      <c r="F167" s="3">
        <v>1.0549999999999999</v>
      </c>
      <c r="G167" s="3"/>
      <c r="H167" s="3" t="s">
        <v>175</v>
      </c>
      <c r="I167" s="3">
        <v>26.161404319970501</v>
      </c>
      <c r="J167" s="3">
        <v>2.2104668332733199</v>
      </c>
      <c r="K167" s="3">
        <v>-0.124531811234638</v>
      </c>
      <c r="L167" s="3">
        <v>1.0211723501460599</v>
      </c>
      <c r="M167" s="3"/>
      <c r="AN167" s="7" t="s">
        <v>374</v>
      </c>
      <c r="AO167">
        <f t="shared" si="4"/>
        <v>860</v>
      </c>
      <c r="AP167" s="7">
        <v>20.763000000000002</v>
      </c>
      <c r="AR167">
        <v>1125.5</v>
      </c>
      <c r="AU167">
        <v>20.912592325967399</v>
      </c>
    </row>
    <row r="168" spans="1:47">
      <c r="A168" s="3" t="s">
        <v>188</v>
      </c>
      <c r="B168" s="3">
        <v>1123</v>
      </c>
      <c r="C168" s="3">
        <v>1128</v>
      </c>
      <c r="D168" s="3">
        <f t="shared" si="5"/>
        <v>1125.5</v>
      </c>
      <c r="E168" s="3">
        <v>0.34499999999999997</v>
      </c>
      <c r="F168" s="3">
        <v>1.0429999999999999</v>
      </c>
      <c r="G168" s="3"/>
      <c r="H168" s="3" t="s">
        <v>175</v>
      </c>
      <c r="I168" s="3">
        <v>20.912592325967399</v>
      </c>
      <c r="J168" s="3">
        <v>2.29259269860166</v>
      </c>
      <c r="K168" s="3">
        <v>-8.3802201574057295E-2</v>
      </c>
      <c r="L168" s="3">
        <v>0.97948613513360405</v>
      </c>
      <c r="M168" s="3"/>
      <c r="AN168" s="2" t="s">
        <v>375</v>
      </c>
      <c r="AO168">
        <f t="shared" si="4"/>
        <v>865</v>
      </c>
      <c r="AP168" s="2">
        <v>20.501999999999999</v>
      </c>
      <c r="AR168">
        <v>1135.5</v>
      </c>
      <c r="AU168">
        <v>26.531245295093001</v>
      </c>
    </row>
    <row r="169" spans="1:47">
      <c r="A169" s="3" t="s">
        <v>189</v>
      </c>
      <c r="B169" s="3">
        <v>1133</v>
      </c>
      <c r="C169" s="3">
        <v>1138</v>
      </c>
      <c r="D169" s="3">
        <f t="shared" si="5"/>
        <v>1135.5</v>
      </c>
      <c r="E169" s="3">
        <v>0.34799999999999998</v>
      </c>
      <c r="F169" s="3">
        <v>1.054</v>
      </c>
      <c r="G169" s="3"/>
      <c r="H169" s="3" t="s">
        <v>175</v>
      </c>
      <c r="I169" s="3">
        <v>26.531245295093001</v>
      </c>
      <c r="J169" s="3">
        <v>2.2688611902023301</v>
      </c>
      <c r="K169" s="3">
        <v>-0.11119955506630801</v>
      </c>
      <c r="L169" s="3">
        <v>0.99732207273602302</v>
      </c>
      <c r="M169" s="3"/>
      <c r="AN169" s="7" t="s">
        <v>376</v>
      </c>
      <c r="AO169">
        <f t="shared" si="4"/>
        <v>870</v>
      </c>
      <c r="AP169" s="7">
        <v>22.288</v>
      </c>
      <c r="AR169">
        <v>1145.5</v>
      </c>
      <c r="AU169">
        <v>30.0968294411906</v>
      </c>
    </row>
    <row r="170" spans="1:47">
      <c r="A170" s="3" t="s">
        <v>190</v>
      </c>
      <c r="B170" s="3">
        <v>1143</v>
      </c>
      <c r="C170" s="3">
        <v>1148</v>
      </c>
      <c r="D170" s="3">
        <f t="shared" si="5"/>
        <v>1145.5</v>
      </c>
      <c r="E170" s="3">
        <v>0.39300000000000002</v>
      </c>
      <c r="F170" s="3">
        <v>1.0660000000000001</v>
      </c>
      <c r="G170" s="3"/>
      <c r="H170" s="3" t="s">
        <v>175</v>
      </c>
      <c r="I170" s="3">
        <v>30.0968294411906</v>
      </c>
      <c r="J170" s="3">
        <v>2.3261309096859999</v>
      </c>
      <c r="K170" s="3">
        <v>-0.135797630205577</v>
      </c>
      <c r="L170" s="3">
        <v>0.99338817102429999</v>
      </c>
      <c r="M170" s="3"/>
      <c r="AN170" s="2" t="s">
        <v>377</v>
      </c>
      <c r="AO170">
        <f t="shared" si="4"/>
        <v>875</v>
      </c>
      <c r="AP170" s="2">
        <v>21.163</v>
      </c>
      <c r="AR170">
        <v>1155.5</v>
      </c>
      <c r="AU170">
        <v>31.3845241727815</v>
      </c>
    </row>
    <row r="171" spans="1:47">
      <c r="A171" s="3" t="s">
        <v>191</v>
      </c>
      <c r="B171" s="3">
        <v>1153</v>
      </c>
      <c r="C171" s="3">
        <v>1158</v>
      </c>
      <c r="D171" s="3">
        <f t="shared" si="5"/>
        <v>1155.5</v>
      </c>
      <c r="E171" s="3">
        <v>0.36699999999999999</v>
      </c>
      <c r="F171" s="3">
        <v>1.0669999999999999</v>
      </c>
      <c r="G171" s="3"/>
      <c r="H171" s="3" t="s">
        <v>175</v>
      </c>
      <c r="I171" s="3">
        <v>31.3845241727815</v>
      </c>
      <c r="J171" s="3">
        <v>2.3656274215893198</v>
      </c>
      <c r="K171" s="3">
        <v>-0.13603753584388201</v>
      </c>
      <c r="L171" s="3">
        <v>0.98742030496210897</v>
      </c>
      <c r="M171" s="3"/>
      <c r="AN171" s="7" t="s">
        <v>378</v>
      </c>
      <c r="AO171">
        <f t="shared" si="4"/>
        <v>880</v>
      </c>
      <c r="AP171" s="7">
        <v>20.303000000000001</v>
      </c>
      <c r="AR171">
        <v>1165.5</v>
      </c>
      <c r="AU171">
        <v>34.2170365706993</v>
      </c>
    </row>
    <row r="172" spans="1:47">
      <c r="A172" s="3" t="s">
        <v>192</v>
      </c>
      <c r="B172" s="3">
        <v>1163</v>
      </c>
      <c r="C172" s="3">
        <v>1168</v>
      </c>
      <c r="D172" s="3">
        <f t="shared" si="5"/>
        <v>1165.5</v>
      </c>
      <c r="E172" s="3">
        <v>0.30499999999999999</v>
      </c>
      <c r="F172" s="3">
        <v>1.0629999999999999</v>
      </c>
      <c r="G172" s="3"/>
      <c r="H172" s="3" t="s">
        <v>175</v>
      </c>
      <c r="I172" s="3">
        <v>34.2170365706993</v>
      </c>
      <c r="J172" s="3">
        <v>2.39989110168578</v>
      </c>
      <c r="K172" s="3">
        <v>-0.15256835170320099</v>
      </c>
      <c r="L172" s="3">
        <v>0.98363140646320402</v>
      </c>
      <c r="M172" s="3"/>
      <c r="AN172" s="2" t="s">
        <v>379</v>
      </c>
      <c r="AO172">
        <f t="shared" si="4"/>
        <v>885</v>
      </c>
      <c r="AP172" s="2">
        <v>19.838999999999999</v>
      </c>
      <c r="AR172">
        <v>1175.5</v>
      </c>
      <c r="AU172">
        <v>31.428863388390099</v>
      </c>
    </row>
    <row r="173" spans="1:47">
      <c r="A173" s="3" t="s">
        <v>193</v>
      </c>
      <c r="B173" s="3">
        <v>1173</v>
      </c>
      <c r="C173" s="3">
        <v>1178</v>
      </c>
      <c r="D173" s="3">
        <f t="shared" si="5"/>
        <v>1175.5</v>
      </c>
      <c r="E173" s="3">
        <v>0.39200000000000002</v>
      </c>
      <c r="F173" s="3">
        <v>1.0029999999999999</v>
      </c>
      <c r="G173" s="3"/>
      <c r="H173" s="3" t="s">
        <v>175</v>
      </c>
      <c r="I173" s="3">
        <v>31.428863388390099</v>
      </c>
      <c r="J173" s="3">
        <v>2.3760389427283699</v>
      </c>
      <c r="K173" s="3">
        <v>-0.13523107847687299</v>
      </c>
      <c r="L173" s="3">
        <v>0.98519668601685795</v>
      </c>
      <c r="M173" s="3"/>
      <c r="AN173" s="7" t="s">
        <v>380</v>
      </c>
      <c r="AO173">
        <f t="shared" si="4"/>
        <v>890</v>
      </c>
      <c r="AP173" s="7">
        <v>22.088999999999999</v>
      </c>
      <c r="AR173">
        <v>1185.5</v>
      </c>
      <c r="AU173">
        <v>36.042369601176603</v>
      </c>
    </row>
    <row r="174" spans="1:47">
      <c r="A174" s="3" t="s">
        <v>194</v>
      </c>
      <c r="B174" s="3">
        <v>1183</v>
      </c>
      <c r="C174" s="3">
        <v>1188</v>
      </c>
      <c r="D174" s="3">
        <f t="shared" si="5"/>
        <v>1185.5</v>
      </c>
      <c r="E174" s="3">
        <v>0.39200000000000002</v>
      </c>
      <c r="F174" s="3">
        <v>1.002</v>
      </c>
      <c r="G174" s="3"/>
      <c r="H174" s="3" t="s">
        <v>175</v>
      </c>
      <c r="I174" s="3">
        <v>36.042369601176603</v>
      </c>
      <c r="J174" s="3">
        <v>2.4601313921123098</v>
      </c>
      <c r="K174" s="3">
        <v>-0.16786290951459301</v>
      </c>
      <c r="L174" s="3">
        <v>0.97461590135102705</v>
      </c>
      <c r="M174" s="3"/>
      <c r="AN174" s="2" t="s">
        <v>381</v>
      </c>
      <c r="AO174">
        <f t="shared" si="4"/>
        <v>895</v>
      </c>
      <c r="AP174" s="2">
        <v>22.745999999999999</v>
      </c>
      <c r="AR174">
        <v>1195.5</v>
      </c>
      <c r="AU174">
        <v>36.4168033904621</v>
      </c>
    </row>
    <row r="175" spans="1:47">
      <c r="A175" s="3" t="s">
        <v>195</v>
      </c>
      <c r="B175" s="3">
        <v>1193</v>
      </c>
      <c r="C175" s="3">
        <v>1198</v>
      </c>
      <c r="D175" s="3">
        <f t="shared" si="5"/>
        <v>1195.5</v>
      </c>
      <c r="E175" s="3">
        <v>0.32400000000000001</v>
      </c>
      <c r="F175" s="3">
        <v>1.0249999999999999</v>
      </c>
      <c r="G175" s="3"/>
      <c r="H175" s="3" t="s">
        <v>175</v>
      </c>
      <c r="I175" s="3">
        <v>36.4168033904621</v>
      </c>
      <c r="J175" s="3">
        <v>2.4667631206082699</v>
      </c>
      <c r="K175" s="3">
        <v>-0.177166325300877</v>
      </c>
      <c r="L175" s="3">
        <v>0.97399259066011901</v>
      </c>
      <c r="M175" s="3"/>
      <c r="AN175" s="7" t="s">
        <v>382</v>
      </c>
      <c r="AO175">
        <f t="shared" si="4"/>
        <v>900</v>
      </c>
      <c r="AP175" s="7">
        <v>21.428000000000001</v>
      </c>
      <c r="AR175">
        <v>1205.5</v>
      </c>
      <c r="AU175">
        <v>36.650619035015403</v>
      </c>
    </row>
    <row r="176" spans="1:47">
      <c r="A176" s="3" t="s">
        <v>196</v>
      </c>
      <c r="B176" s="3">
        <v>1203</v>
      </c>
      <c r="C176" s="3">
        <v>1208</v>
      </c>
      <c r="D176" s="3">
        <f t="shared" si="5"/>
        <v>1205.5</v>
      </c>
      <c r="E176" s="3">
        <v>0.39100000000000001</v>
      </c>
      <c r="F176" s="3">
        <v>1.0660000000000001</v>
      </c>
      <c r="G176" s="3"/>
      <c r="H176" s="3" t="s">
        <v>175</v>
      </c>
      <c r="I176" s="3">
        <v>36.650619035015403</v>
      </c>
      <c r="J176" s="3">
        <v>2.4538230809741699</v>
      </c>
      <c r="K176" s="3">
        <v>-0.177337115978216</v>
      </c>
      <c r="L176" s="3">
        <v>0.97947501135081705</v>
      </c>
      <c r="M176" s="3"/>
      <c r="AN176" s="2" t="s">
        <v>383</v>
      </c>
      <c r="AO176">
        <f t="shared" si="4"/>
        <v>905</v>
      </c>
      <c r="AP176" s="2">
        <v>19.111999999999998</v>
      </c>
      <c r="AR176">
        <v>1214</v>
      </c>
      <c r="AU176">
        <v>37.096352002279303</v>
      </c>
    </row>
    <row r="177" spans="1:47">
      <c r="A177" s="3" t="s">
        <v>197</v>
      </c>
      <c r="B177" s="3">
        <v>1213</v>
      </c>
      <c r="C177" s="3">
        <v>1215</v>
      </c>
      <c r="D177" s="3">
        <f t="shared" si="5"/>
        <v>1214</v>
      </c>
      <c r="E177" s="3">
        <v>0.33100000000000002</v>
      </c>
      <c r="F177" s="3">
        <v>1.0880000000000001</v>
      </c>
      <c r="G177" s="3"/>
      <c r="H177" s="3" t="s">
        <v>175</v>
      </c>
      <c r="I177" s="3">
        <v>37.096352002279303</v>
      </c>
      <c r="J177" s="3">
        <v>2.4651563768907798</v>
      </c>
      <c r="K177" s="3">
        <v>-0.180155558488656</v>
      </c>
      <c r="L177" s="3">
        <v>0.97828166544775697</v>
      </c>
      <c r="M177" s="3"/>
      <c r="AN177" s="7" t="s">
        <v>384</v>
      </c>
      <c r="AO177">
        <f t="shared" si="4"/>
        <v>910</v>
      </c>
      <c r="AP177" s="7">
        <v>18.911000000000001</v>
      </c>
      <c r="AR177">
        <v>1219.5</v>
      </c>
      <c r="AU177">
        <v>37.201112525182403</v>
      </c>
    </row>
    <row r="178" spans="1:47">
      <c r="A178" s="3" t="s">
        <v>198</v>
      </c>
      <c r="B178" s="3">
        <v>1215</v>
      </c>
      <c r="C178" s="3">
        <v>1224</v>
      </c>
      <c r="D178" s="3">
        <f t="shared" si="5"/>
        <v>1219.5</v>
      </c>
      <c r="E178" s="3">
        <v>0.373</v>
      </c>
      <c r="F178" s="3">
        <v>1.093</v>
      </c>
      <c r="G178" s="3"/>
      <c r="H178" s="3" t="s">
        <v>175</v>
      </c>
      <c r="I178" s="3">
        <v>37.201112525182403</v>
      </c>
      <c r="J178" s="3">
        <v>2.47678352766646</v>
      </c>
      <c r="K178" s="3">
        <v>-0.18444873219966201</v>
      </c>
      <c r="L178" s="3">
        <v>0.97481102873440595</v>
      </c>
      <c r="M178" s="3"/>
      <c r="AN178" s="2" t="s">
        <v>385</v>
      </c>
      <c r="AO178">
        <f t="shared" si="4"/>
        <v>915</v>
      </c>
      <c r="AP178" s="2">
        <v>21.693000000000001</v>
      </c>
    </row>
    <row r="179" spans="1:47">
      <c r="AN179" s="7" t="s">
        <v>386</v>
      </c>
      <c r="AO179">
        <f t="shared" si="4"/>
        <v>920</v>
      </c>
      <c r="AP179" s="7">
        <v>22.882999999999999</v>
      </c>
    </row>
    <row r="180" spans="1:47">
      <c r="AN180" s="2" t="s">
        <v>387</v>
      </c>
      <c r="AO180">
        <f t="shared" si="4"/>
        <v>925</v>
      </c>
      <c r="AP180" s="2">
        <v>22.216999999999999</v>
      </c>
    </row>
    <row r="181" spans="1:47">
      <c r="AN181" s="7" t="s">
        <v>388</v>
      </c>
      <c r="AO181">
        <f t="shared" si="4"/>
        <v>930</v>
      </c>
      <c r="AP181" s="7">
        <v>21.954999999999998</v>
      </c>
    </row>
    <row r="182" spans="1:47">
      <c r="AN182" s="2" t="s">
        <v>389</v>
      </c>
      <c r="AO182">
        <f t="shared" si="4"/>
        <v>935</v>
      </c>
      <c r="AP182" s="2">
        <v>21.89</v>
      </c>
    </row>
    <row r="183" spans="1:47">
      <c r="AN183" s="7" t="s">
        <v>390</v>
      </c>
      <c r="AO183">
        <f t="shared" si="4"/>
        <v>940</v>
      </c>
      <c r="AP183" s="7">
        <v>20.704000000000001</v>
      </c>
    </row>
    <row r="184" spans="1:47">
      <c r="AN184" s="2" t="s">
        <v>391</v>
      </c>
      <c r="AO184">
        <f t="shared" si="4"/>
        <v>945</v>
      </c>
      <c r="AP184" s="2">
        <v>19.446000000000002</v>
      </c>
    </row>
    <row r="185" spans="1:47">
      <c r="AN185" s="7" t="s">
        <v>392</v>
      </c>
      <c r="AO185">
        <f t="shared" si="4"/>
        <v>950</v>
      </c>
      <c r="AP185" s="7">
        <v>22.027000000000001</v>
      </c>
    </row>
    <row r="186" spans="1:47">
      <c r="AN186" s="2" t="s">
        <v>393</v>
      </c>
      <c r="AO186">
        <f t="shared" si="4"/>
        <v>955</v>
      </c>
      <c r="AP186" s="2">
        <v>21.099</v>
      </c>
    </row>
    <row r="187" spans="1:47">
      <c r="AN187" s="7" t="s">
        <v>394</v>
      </c>
      <c r="AO187">
        <f t="shared" si="4"/>
        <v>960</v>
      </c>
      <c r="AP187" s="7">
        <v>20.372</v>
      </c>
    </row>
    <row r="188" spans="1:47">
      <c r="AN188" s="2" t="s">
        <v>395</v>
      </c>
      <c r="AO188">
        <f t="shared" si="4"/>
        <v>965</v>
      </c>
      <c r="AP188" s="2">
        <v>20.306999999999999</v>
      </c>
    </row>
    <row r="189" spans="1:47">
      <c r="AN189" s="7" t="s">
        <v>396</v>
      </c>
      <c r="AO189">
        <f t="shared" si="4"/>
        <v>970</v>
      </c>
      <c r="AP189" s="7">
        <v>24.472000000000001</v>
      </c>
    </row>
    <row r="190" spans="1:47">
      <c r="AN190" s="2" t="s">
        <v>397</v>
      </c>
      <c r="AO190">
        <f t="shared" si="4"/>
        <v>975</v>
      </c>
      <c r="AP190" s="2">
        <v>22.355</v>
      </c>
    </row>
    <row r="191" spans="1:47">
      <c r="AN191" s="7" t="s">
        <v>398</v>
      </c>
      <c r="AO191">
        <f t="shared" si="4"/>
        <v>980</v>
      </c>
      <c r="AP191" s="7">
        <v>23.477</v>
      </c>
    </row>
    <row r="192" spans="1:47">
      <c r="AN192" s="2" t="s">
        <v>399</v>
      </c>
      <c r="AO192">
        <f t="shared" si="4"/>
        <v>985</v>
      </c>
      <c r="AP192" s="2">
        <v>23.806000000000001</v>
      </c>
    </row>
    <row r="193" spans="40:42">
      <c r="AN193" s="7" t="s">
        <v>400</v>
      </c>
      <c r="AO193">
        <f t="shared" si="4"/>
        <v>990</v>
      </c>
      <c r="AP193" s="7">
        <v>24.728999999999999</v>
      </c>
    </row>
    <row r="194" spans="40:42">
      <c r="AN194" s="2" t="s">
        <v>401</v>
      </c>
      <c r="AO194">
        <f t="shared" si="4"/>
        <v>995</v>
      </c>
      <c r="AP194" s="2">
        <v>23.606000000000002</v>
      </c>
    </row>
    <row r="195" spans="40:42">
      <c r="AN195" s="7" t="s">
        <v>402</v>
      </c>
      <c r="AO195">
        <f t="shared" ref="AO195:AO243" si="6">AN195*10</f>
        <v>1000</v>
      </c>
      <c r="AP195" s="7">
        <v>23.074999999999999</v>
      </c>
    </row>
    <row r="196" spans="40:42">
      <c r="AN196" s="2" t="s">
        <v>403</v>
      </c>
      <c r="AO196">
        <f t="shared" si="6"/>
        <v>1005</v>
      </c>
      <c r="AP196" s="2">
        <v>22.55</v>
      </c>
    </row>
    <row r="197" spans="40:42">
      <c r="AN197" s="7" t="s">
        <v>404</v>
      </c>
      <c r="AO197">
        <f t="shared" si="6"/>
        <v>1010</v>
      </c>
      <c r="AP197" s="7">
        <v>21.885000000000002</v>
      </c>
    </row>
    <row r="198" spans="40:42">
      <c r="AN198" s="2" t="s">
        <v>405</v>
      </c>
      <c r="AO198">
        <f t="shared" si="6"/>
        <v>1015</v>
      </c>
      <c r="AP198" s="2">
        <v>21.89</v>
      </c>
    </row>
    <row r="199" spans="40:42">
      <c r="AN199" s="7" t="s">
        <v>406</v>
      </c>
      <c r="AO199">
        <f t="shared" si="6"/>
        <v>1020</v>
      </c>
      <c r="AP199" s="7">
        <v>22.413</v>
      </c>
    </row>
    <row r="200" spans="40:42">
      <c r="AN200" s="2" t="s">
        <v>407</v>
      </c>
      <c r="AO200">
        <f t="shared" si="6"/>
        <v>1025</v>
      </c>
      <c r="AP200" s="2">
        <v>22.48</v>
      </c>
    </row>
    <row r="201" spans="40:42">
      <c r="AN201" s="7" t="s">
        <v>408</v>
      </c>
      <c r="AO201">
        <f t="shared" si="6"/>
        <v>1030</v>
      </c>
      <c r="AP201" s="7">
        <v>20.762</v>
      </c>
    </row>
    <row r="202" spans="40:42">
      <c r="AN202" s="2" t="s">
        <v>409</v>
      </c>
      <c r="AO202">
        <f t="shared" si="6"/>
        <v>1035</v>
      </c>
      <c r="AP202" s="2">
        <v>20.109000000000002</v>
      </c>
    </row>
    <row r="203" spans="40:42">
      <c r="AN203" s="7" t="s">
        <v>410</v>
      </c>
      <c r="AO203">
        <f t="shared" si="6"/>
        <v>1040</v>
      </c>
      <c r="AP203" s="7">
        <v>20.367999999999999</v>
      </c>
    </row>
    <row r="204" spans="40:42">
      <c r="AN204" s="2" t="s">
        <v>411</v>
      </c>
      <c r="AO204">
        <f t="shared" si="6"/>
        <v>1045</v>
      </c>
      <c r="AP204" s="2">
        <v>20.303999999999998</v>
      </c>
    </row>
    <row r="205" spans="40:42">
      <c r="AN205" s="7" t="s">
        <v>412</v>
      </c>
      <c r="AO205">
        <f t="shared" si="6"/>
        <v>1050</v>
      </c>
      <c r="AP205" s="7">
        <v>20.305</v>
      </c>
    </row>
    <row r="206" spans="40:42">
      <c r="AN206" s="2" t="s">
        <v>413</v>
      </c>
      <c r="AO206">
        <f t="shared" si="6"/>
        <v>1055</v>
      </c>
      <c r="AP206" s="2">
        <v>20.105</v>
      </c>
    </row>
    <row r="207" spans="40:42">
      <c r="AN207" s="7" t="s">
        <v>414</v>
      </c>
      <c r="AO207">
        <f t="shared" si="6"/>
        <v>1060</v>
      </c>
      <c r="AP207" s="7">
        <v>21.693999999999999</v>
      </c>
    </row>
    <row r="208" spans="40:42">
      <c r="AN208" s="2" t="s">
        <v>415</v>
      </c>
      <c r="AO208">
        <f t="shared" si="6"/>
        <v>1065</v>
      </c>
      <c r="AP208" s="2">
        <v>22.617000000000001</v>
      </c>
    </row>
    <row r="209" spans="40:42">
      <c r="AN209" s="7" t="s">
        <v>416</v>
      </c>
      <c r="AO209">
        <f t="shared" si="6"/>
        <v>1070</v>
      </c>
      <c r="AP209" s="7">
        <v>23.079000000000001</v>
      </c>
    </row>
    <row r="210" spans="40:42">
      <c r="AN210" s="2" t="s">
        <v>417</v>
      </c>
      <c r="AO210">
        <f t="shared" si="6"/>
        <v>1075</v>
      </c>
      <c r="AP210" s="2">
        <v>24.535</v>
      </c>
    </row>
    <row r="211" spans="40:42">
      <c r="AN211" s="7" t="s">
        <v>418</v>
      </c>
      <c r="AO211">
        <f t="shared" si="6"/>
        <v>1080</v>
      </c>
      <c r="AP211" s="7">
        <v>26.056000000000001</v>
      </c>
    </row>
    <row r="212" spans="40:42">
      <c r="AN212" s="2" t="s">
        <v>419</v>
      </c>
      <c r="AO212">
        <f t="shared" si="6"/>
        <v>1085</v>
      </c>
      <c r="AP212" s="2">
        <v>24.934000000000001</v>
      </c>
    </row>
    <row r="213" spans="40:42">
      <c r="AN213" s="7" t="s">
        <v>420</v>
      </c>
      <c r="AO213">
        <f t="shared" si="6"/>
        <v>1090</v>
      </c>
      <c r="AP213" s="7">
        <v>25.196000000000002</v>
      </c>
    </row>
    <row r="214" spans="40:42">
      <c r="AN214" s="2" t="s">
        <v>421</v>
      </c>
      <c r="AO214">
        <f t="shared" si="6"/>
        <v>1095</v>
      </c>
      <c r="AP214" s="2">
        <v>22.748999999999999</v>
      </c>
    </row>
    <row r="215" spans="40:42">
      <c r="AN215" s="7" t="s">
        <v>422</v>
      </c>
      <c r="AO215">
        <f t="shared" si="6"/>
        <v>1100</v>
      </c>
      <c r="AP215" s="7">
        <v>24.87</v>
      </c>
    </row>
    <row r="216" spans="40:42">
      <c r="AN216" s="2" t="s">
        <v>423</v>
      </c>
      <c r="AO216">
        <f t="shared" si="6"/>
        <v>1105</v>
      </c>
      <c r="AP216" s="2">
        <v>25.068999999999999</v>
      </c>
    </row>
    <row r="217" spans="40:42">
      <c r="AN217" s="7" t="s">
        <v>424</v>
      </c>
      <c r="AO217">
        <f t="shared" si="6"/>
        <v>1110</v>
      </c>
      <c r="AP217" s="7">
        <v>23.547000000000001</v>
      </c>
    </row>
    <row r="218" spans="40:42">
      <c r="AN218" s="2" t="s">
        <v>425</v>
      </c>
      <c r="AO218">
        <f t="shared" si="6"/>
        <v>1115</v>
      </c>
      <c r="AP218" s="2">
        <v>23.414999999999999</v>
      </c>
    </row>
    <row r="219" spans="40:42">
      <c r="AN219" s="7" t="s">
        <v>426</v>
      </c>
      <c r="AO219">
        <f t="shared" si="6"/>
        <v>1120</v>
      </c>
      <c r="AP219" s="7">
        <v>24.803000000000001</v>
      </c>
    </row>
    <row r="220" spans="40:42">
      <c r="AN220" s="2" t="s">
        <v>427</v>
      </c>
      <c r="AO220">
        <f t="shared" si="6"/>
        <v>1125</v>
      </c>
      <c r="AP220" s="2">
        <v>24.600999999999999</v>
      </c>
    </row>
    <row r="221" spans="40:42">
      <c r="AN221" s="7" t="s">
        <v>428</v>
      </c>
      <c r="AO221">
        <f t="shared" si="6"/>
        <v>1130</v>
      </c>
      <c r="AP221" s="7">
        <v>23.742999999999999</v>
      </c>
    </row>
    <row r="222" spans="40:42">
      <c r="AN222" s="2" t="s">
        <v>429</v>
      </c>
      <c r="AO222">
        <f t="shared" si="6"/>
        <v>1135</v>
      </c>
      <c r="AP222" s="2">
        <v>23.341000000000001</v>
      </c>
    </row>
    <row r="223" spans="40:42">
      <c r="AN223" s="7" t="s">
        <v>430</v>
      </c>
      <c r="AO223">
        <f t="shared" si="6"/>
        <v>1140</v>
      </c>
      <c r="AP223" s="7">
        <v>23.077000000000002</v>
      </c>
    </row>
    <row r="224" spans="40:42">
      <c r="AN224" s="2" t="s">
        <v>431</v>
      </c>
      <c r="AO224">
        <f t="shared" si="6"/>
        <v>1145</v>
      </c>
      <c r="AP224" s="2">
        <v>23.61</v>
      </c>
    </row>
    <row r="225" spans="40:42">
      <c r="AN225" s="7" t="s">
        <v>432</v>
      </c>
      <c r="AO225">
        <f t="shared" si="6"/>
        <v>1150</v>
      </c>
      <c r="AP225" s="7">
        <v>23.411000000000001</v>
      </c>
    </row>
    <row r="226" spans="40:42">
      <c r="AN226" s="2" t="s">
        <v>433</v>
      </c>
      <c r="AO226">
        <f t="shared" si="6"/>
        <v>1155</v>
      </c>
      <c r="AP226" s="2">
        <v>22.745000000000001</v>
      </c>
    </row>
    <row r="227" spans="40:42">
      <c r="AN227" s="7" t="s">
        <v>434</v>
      </c>
      <c r="AO227">
        <f t="shared" si="6"/>
        <v>1160</v>
      </c>
      <c r="AP227" s="7">
        <v>22.550999999999998</v>
      </c>
    </row>
    <row r="228" spans="40:42">
      <c r="AN228" s="2" t="s">
        <v>435</v>
      </c>
      <c r="AO228">
        <f t="shared" si="6"/>
        <v>1165</v>
      </c>
      <c r="AP228" s="2">
        <v>23.146999999999998</v>
      </c>
    </row>
    <row r="229" spans="40:42">
      <c r="AN229" s="7" t="s">
        <v>436</v>
      </c>
      <c r="AO229">
        <f t="shared" si="6"/>
        <v>1170</v>
      </c>
      <c r="AP229" s="7">
        <v>22.748000000000001</v>
      </c>
    </row>
    <row r="230" spans="40:42">
      <c r="AN230" s="2" t="s">
        <v>437</v>
      </c>
      <c r="AO230">
        <f t="shared" si="6"/>
        <v>1175</v>
      </c>
      <c r="AP230" s="2">
        <v>22.48</v>
      </c>
    </row>
    <row r="231" spans="40:42">
      <c r="AN231" s="7" t="s">
        <v>438</v>
      </c>
      <c r="AO231">
        <f t="shared" si="6"/>
        <v>1180</v>
      </c>
      <c r="AP231" s="7">
        <v>22.221</v>
      </c>
    </row>
    <row r="232" spans="40:42">
      <c r="AN232" s="2" t="s">
        <v>439</v>
      </c>
      <c r="AO232">
        <f t="shared" si="6"/>
        <v>1185</v>
      </c>
      <c r="AP232" s="2">
        <v>22.814</v>
      </c>
    </row>
    <row r="233" spans="40:42">
      <c r="AN233" s="7" t="s">
        <v>440</v>
      </c>
      <c r="AO233">
        <f t="shared" si="6"/>
        <v>1190</v>
      </c>
      <c r="AP233" s="7">
        <v>22.419</v>
      </c>
    </row>
    <row r="234" spans="40:42">
      <c r="AN234" s="2" t="s">
        <v>441</v>
      </c>
      <c r="AO234">
        <f t="shared" si="6"/>
        <v>1195</v>
      </c>
      <c r="AP234" s="2">
        <v>22.021000000000001</v>
      </c>
    </row>
    <row r="235" spans="40:42">
      <c r="AN235" s="7" t="s">
        <v>442</v>
      </c>
      <c r="AO235">
        <f t="shared" si="6"/>
        <v>1200</v>
      </c>
      <c r="AP235" s="7">
        <v>20.7</v>
      </c>
    </row>
    <row r="236" spans="40:42">
      <c r="AN236" s="2" t="s">
        <v>443</v>
      </c>
      <c r="AO236">
        <f t="shared" si="6"/>
        <v>1205</v>
      </c>
      <c r="AP236" s="2">
        <v>19.969000000000001</v>
      </c>
    </row>
    <row r="237" spans="40:42">
      <c r="AN237" s="7" t="s">
        <v>444</v>
      </c>
      <c r="AO237">
        <f t="shared" si="6"/>
        <v>1210</v>
      </c>
      <c r="AP237" s="7">
        <v>19.047000000000001</v>
      </c>
    </row>
    <row r="238" spans="40:42">
      <c r="AN238" s="2" t="s">
        <v>445</v>
      </c>
      <c r="AO238">
        <f t="shared" si="6"/>
        <v>1215</v>
      </c>
      <c r="AP238" s="2">
        <v>19.045000000000002</v>
      </c>
    </row>
    <row r="239" spans="40:42">
      <c r="AN239" s="7" t="s">
        <v>446</v>
      </c>
      <c r="AO239">
        <f t="shared" si="6"/>
        <v>1220</v>
      </c>
      <c r="AP239" s="7">
        <v>16.997</v>
      </c>
    </row>
    <row r="240" spans="40:42">
      <c r="AN240" s="2" t="s">
        <v>447</v>
      </c>
      <c r="AO240">
        <f t="shared" si="6"/>
        <v>1225</v>
      </c>
      <c r="AP240" s="2">
        <v>12.827999999999999</v>
      </c>
    </row>
    <row r="241" spans="40:42">
      <c r="AN241" s="7" t="s">
        <v>448</v>
      </c>
      <c r="AO241">
        <f t="shared" si="6"/>
        <v>1230</v>
      </c>
      <c r="AP241" s="7">
        <v>6.1479999999999997</v>
      </c>
    </row>
    <row r="242" spans="40:42">
      <c r="AN242" s="2" t="s">
        <v>449</v>
      </c>
      <c r="AO242">
        <f t="shared" si="6"/>
        <v>1235</v>
      </c>
      <c r="AP242" s="2">
        <v>2.383</v>
      </c>
    </row>
    <row r="243" spans="40:42">
      <c r="AN243" s="7" t="s">
        <v>450</v>
      </c>
      <c r="AO243">
        <f t="shared" si="6"/>
        <v>1240</v>
      </c>
      <c r="AP243" s="7">
        <v>0.86199999999999999</v>
      </c>
    </row>
  </sheetData>
  <mergeCells count="10">
    <mergeCell ref="G1:G2"/>
    <mergeCell ref="H1:H2"/>
    <mergeCell ref="I1:L1"/>
    <mergeCell ref="M1:M2"/>
    <mergeCell ref="A1:A2"/>
    <mergeCell ref="B1:B2"/>
    <mergeCell ref="C1:C2"/>
    <mergeCell ref="D1:D2"/>
    <mergeCell ref="E1:E2"/>
    <mergeCell ref="F1:F2"/>
  </mergeCells>
  <conditionalFormatting sqref="A3:M178">
    <cfRule type="expression" dxfId="2" priority="1">
      <formula>$H3="Pre-Maori"</formula>
    </cfRule>
    <cfRule type="expression" dxfId="1" priority="2">
      <formula>$H3="Pre-European"</formula>
    </cfRule>
    <cfRule type="expression" dxfId="0" priority="3">
      <formula>$H3="Modern"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Connor</dc:creator>
  <cp:keywords/>
  <dc:description/>
  <cp:lastModifiedBy>Dharma Power</cp:lastModifiedBy>
  <cp:revision/>
  <dcterms:created xsi:type="dcterms:W3CDTF">2015-06-05T18:17:20Z</dcterms:created>
  <dcterms:modified xsi:type="dcterms:W3CDTF">2026-05-22T05:21:40Z</dcterms:modified>
  <cp:category/>
  <cp:contentStatus/>
</cp:coreProperties>
</file>